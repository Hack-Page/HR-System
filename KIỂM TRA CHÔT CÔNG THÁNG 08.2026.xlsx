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ggettplatt-my.sharepoint.com/personal/vinh_pham_leggett_com/Documents/Desktop/"/>
    </mc:Choice>
  </mc:AlternateContent>
  <xr:revisionPtr revIDLastSave="70" documentId="8_{EB4CE349-F7CC-4EE3-92C4-0C874151AC71}" xr6:coauthVersionLast="47" xr6:coauthVersionMax="47" xr10:uidLastSave="{134F069A-2099-4CF6-BFFC-5F2C9B43A8A6}"/>
  <bookViews>
    <workbookView xWindow="-120" yWindow="-120" windowWidth="29040" windowHeight="15720" firstSheet="1" activeTab="3" xr2:uid="{1FF8C7A8-6C4C-4FF6-9FF2-72D15F82A879}"/>
  </bookViews>
  <sheets>
    <sheet name="Overtime" sheetId="17" state="hidden" r:id="rId1"/>
    <sheet name="OT1" sheetId="18" r:id="rId2"/>
    <sheet name="Sheet1" sheetId="22" r:id="rId3"/>
    <sheet name="Working time" sheetId="15" r:id="rId4"/>
    <sheet name="Thai san" sheetId="21" r:id="rId5"/>
    <sheet name="Leave" sheetId="19" r:id="rId6"/>
  </sheets>
  <definedNames>
    <definedName name="_xlnm._FilterDatabase" localSheetId="5" hidden="1">Leave!$A$3:$K$165</definedName>
    <definedName name="_xlnm._FilterDatabase" localSheetId="1" hidden="1">'OT1'!$A$7:$BF$108</definedName>
    <definedName name="_xlnm._FilterDatabase" localSheetId="0" hidden="1">Overtime!$A$7:$AU$127</definedName>
    <definedName name="_xlnm._FilterDatabase" localSheetId="3" hidden="1">'Working time'!$A$7:$BG$109</definedName>
    <definedName name="_xlnm.Print_Area" localSheetId="1">'OT1'!$A$1:$AL$94</definedName>
    <definedName name="_xlnm.Print_Area" localSheetId="3">'Working time'!$A$1:$BB$93</definedName>
    <definedName name="_xlnm.Print_Titles" localSheetId="1">'OT1'!$5:$7</definedName>
    <definedName name="_xlnm.Print_Titles" localSheetId="3">'Working time'!$5:$7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5" l="1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AQ53" i="15" s="1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H109" i="15"/>
  <c r="H8" i="15"/>
  <c r="AR108" i="15"/>
  <c r="AO108" i="15" l="1"/>
  <c r="AS108" i="15"/>
  <c r="AT108" i="15"/>
  <c r="AP108" i="15"/>
  <c r="AQ108" i="15"/>
  <c r="D16" i="19"/>
  <c r="E16" i="19"/>
  <c r="F16" i="19"/>
  <c r="G16" i="19"/>
  <c r="D19" i="19"/>
  <c r="E19" i="19"/>
  <c r="F19" i="19"/>
  <c r="G19" i="19"/>
  <c r="AW108" i="15" l="1"/>
  <c r="G165" i="19"/>
  <c r="F165" i="19"/>
  <c r="E165" i="19"/>
  <c r="D165" i="19"/>
  <c r="D86" i="19"/>
  <c r="E86" i="19"/>
  <c r="F86" i="19"/>
  <c r="G86" i="19"/>
  <c r="D87" i="19"/>
  <c r="E87" i="19"/>
  <c r="F87" i="19"/>
  <c r="G87" i="19"/>
  <c r="D88" i="19"/>
  <c r="E88" i="19"/>
  <c r="F88" i="19"/>
  <c r="G88" i="19"/>
  <c r="D89" i="19"/>
  <c r="E89" i="19"/>
  <c r="F89" i="19"/>
  <c r="G89" i="19"/>
  <c r="D90" i="19"/>
  <c r="E90" i="19"/>
  <c r="F90" i="19"/>
  <c r="G90" i="19"/>
  <c r="D91" i="19"/>
  <c r="E91" i="19"/>
  <c r="F91" i="19"/>
  <c r="G91" i="19"/>
  <c r="D92" i="19"/>
  <c r="E92" i="19"/>
  <c r="F92" i="19"/>
  <c r="G92" i="19"/>
  <c r="D93" i="19"/>
  <c r="E93" i="19"/>
  <c r="F93" i="19"/>
  <c r="G93" i="19"/>
  <c r="D94" i="19"/>
  <c r="E94" i="19"/>
  <c r="F94" i="19"/>
  <c r="G94" i="19"/>
  <c r="D95" i="19"/>
  <c r="E95" i="19"/>
  <c r="F95" i="19"/>
  <c r="G95" i="19"/>
  <c r="D96" i="19"/>
  <c r="E96" i="19"/>
  <c r="F96" i="19"/>
  <c r="G96" i="19"/>
  <c r="D97" i="19"/>
  <c r="E97" i="19"/>
  <c r="F97" i="19"/>
  <c r="G97" i="19"/>
  <c r="D98" i="19"/>
  <c r="E98" i="19"/>
  <c r="F98" i="19"/>
  <c r="G98" i="19"/>
  <c r="D144" i="19"/>
  <c r="E144" i="19"/>
  <c r="F144" i="19"/>
  <c r="G144" i="19"/>
  <c r="D143" i="19"/>
  <c r="E143" i="19"/>
  <c r="F143" i="19"/>
  <c r="G143" i="19"/>
  <c r="G142" i="19"/>
  <c r="F142" i="19"/>
  <c r="E142" i="19"/>
  <c r="D142" i="19"/>
  <c r="G141" i="19"/>
  <c r="F141" i="19"/>
  <c r="E141" i="19"/>
  <c r="D141" i="19"/>
  <c r="G140" i="19"/>
  <c r="F140" i="19"/>
  <c r="E140" i="19"/>
  <c r="D140" i="19"/>
  <c r="G139" i="19"/>
  <c r="F139" i="19"/>
  <c r="E139" i="19"/>
  <c r="D139" i="19"/>
  <c r="D136" i="19"/>
  <c r="E136" i="19"/>
  <c r="F136" i="19"/>
  <c r="G136" i="19"/>
  <c r="D137" i="19"/>
  <c r="E137" i="19"/>
  <c r="F137" i="19"/>
  <c r="G137" i="19"/>
  <c r="D138" i="19"/>
  <c r="E138" i="19"/>
  <c r="F138" i="19"/>
  <c r="G138" i="19"/>
  <c r="D147" i="19"/>
  <c r="E147" i="19"/>
  <c r="F147" i="19"/>
  <c r="G147" i="19"/>
  <c r="D30" i="19"/>
  <c r="E30" i="19"/>
  <c r="F30" i="19"/>
  <c r="G30" i="19"/>
  <c r="D46" i="19"/>
  <c r="E46" i="19"/>
  <c r="F46" i="19"/>
  <c r="G46" i="19"/>
  <c r="D146" i="19"/>
  <c r="E146" i="19"/>
  <c r="F146" i="19"/>
  <c r="G146" i="19"/>
  <c r="D160" i="19"/>
  <c r="E160" i="19"/>
  <c r="F160" i="19"/>
  <c r="G160" i="19"/>
  <c r="D161" i="19"/>
  <c r="E161" i="19"/>
  <c r="F161" i="19"/>
  <c r="G161" i="19"/>
  <c r="D145" i="19"/>
  <c r="E145" i="19"/>
  <c r="F145" i="19"/>
  <c r="G145" i="19"/>
  <c r="D151" i="19"/>
  <c r="E151" i="19"/>
  <c r="F151" i="19"/>
  <c r="G151" i="19"/>
  <c r="D156" i="19"/>
  <c r="E156" i="19"/>
  <c r="F156" i="19"/>
  <c r="G156" i="19"/>
  <c r="D157" i="19"/>
  <c r="E157" i="19"/>
  <c r="F157" i="19"/>
  <c r="G157" i="19"/>
  <c r="D158" i="19"/>
  <c r="E158" i="19"/>
  <c r="F158" i="19"/>
  <c r="G158" i="19"/>
  <c r="D159" i="19"/>
  <c r="E159" i="19"/>
  <c r="F159" i="19"/>
  <c r="G159" i="19"/>
  <c r="D52" i="19"/>
  <c r="E52" i="19"/>
  <c r="F52" i="19"/>
  <c r="G52" i="19"/>
  <c r="D41" i="19"/>
  <c r="E41" i="19"/>
  <c r="F41" i="19"/>
  <c r="G41" i="19"/>
  <c r="D33" i="19"/>
  <c r="E33" i="19"/>
  <c r="F33" i="19"/>
  <c r="G33" i="19"/>
  <c r="G162" i="19"/>
  <c r="F162" i="19"/>
  <c r="E162" i="19"/>
  <c r="D162" i="19"/>
  <c r="G134" i="19"/>
  <c r="F134" i="19"/>
  <c r="E134" i="19"/>
  <c r="D134" i="19"/>
  <c r="AO13" i="15"/>
  <c r="AO56" i="15"/>
  <c r="AX40" i="15"/>
  <c r="AX107" i="15"/>
  <c r="AX106" i="15"/>
  <c r="AX105" i="15"/>
  <c r="AX104" i="15"/>
  <c r="AX103" i="15"/>
  <c r="AX102" i="15"/>
  <c r="AX101" i="15"/>
  <c r="AX99" i="15"/>
  <c r="AX98" i="15"/>
  <c r="AX72" i="15"/>
  <c r="AX43" i="15"/>
  <c r="AX97" i="15"/>
  <c r="AX34" i="15"/>
  <c r="AO104" i="15"/>
  <c r="AP104" i="15"/>
  <c r="AQ104" i="15"/>
  <c r="AR104" i="15"/>
  <c r="AS104" i="15"/>
  <c r="AT104" i="15"/>
  <c r="AO105" i="15"/>
  <c r="AP105" i="15"/>
  <c r="AQ105" i="15"/>
  <c r="AR105" i="15"/>
  <c r="AS105" i="15"/>
  <c r="AT105" i="15"/>
  <c r="AO106" i="15"/>
  <c r="AP106" i="15"/>
  <c r="AQ106" i="15"/>
  <c r="AR106" i="15"/>
  <c r="AS106" i="15"/>
  <c r="AT106" i="15"/>
  <c r="AO107" i="15"/>
  <c r="AW107" i="15" s="1"/>
  <c r="AP107" i="15"/>
  <c r="AQ107" i="15"/>
  <c r="AR107" i="15"/>
  <c r="AS107" i="15"/>
  <c r="AT107" i="15"/>
  <c r="AP103" i="15"/>
  <c r="AQ103" i="15"/>
  <c r="AR103" i="15"/>
  <c r="AS103" i="15"/>
  <c r="AT103" i="15"/>
  <c r="AP34" i="15"/>
  <c r="AQ34" i="15"/>
  <c r="AR34" i="15"/>
  <c r="AS34" i="15"/>
  <c r="AT34" i="15"/>
  <c r="AP97" i="15"/>
  <c r="AQ97" i="15"/>
  <c r="AR97" i="15"/>
  <c r="AS97" i="15"/>
  <c r="AT97" i="15"/>
  <c r="AP43" i="15"/>
  <c r="AQ43" i="15"/>
  <c r="AR43" i="15"/>
  <c r="AS43" i="15"/>
  <c r="AT43" i="15"/>
  <c r="AP72" i="15"/>
  <c r="AQ72" i="15"/>
  <c r="AR72" i="15"/>
  <c r="AS72" i="15"/>
  <c r="AT72" i="15"/>
  <c r="AP98" i="15"/>
  <c r="AQ98" i="15"/>
  <c r="AR98" i="15"/>
  <c r="AS98" i="15"/>
  <c r="AT98" i="15"/>
  <c r="AP99" i="15"/>
  <c r="AQ99" i="15"/>
  <c r="AR99" i="15"/>
  <c r="AS99" i="15"/>
  <c r="AT99" i="15"/>
  <c r="AP100" i="15"/>
  <c r="AQ100" i="15"/>
  <c r="AR100" i="15"/>
  <c r="AS100" i="15"/>
  <c r="AT100" i="15"/>
  <c r="AP101" i="15"/>
  <c r="AQ101" i="15"/>
  <c r="AR101" i="15"/>
  <c r="AS101" i="15"/>
  <c r="AT101" i="15"/>
  <c r="AP102" i="15"/>
  <c r="AQ102" i="15"/>
  <c r="AR102" i="15"/>
  <c r="AS102" i="15"/>
  <c r="AT102" i="15"/>
  <c r="AQ93" i="15"/>
  <c r="AQ94" i="15"/>
  <c r="AQ95" i="15"/>
  <c r="AO34" i="15"/>
  <c r="AO97" i="15"/>
  <c r="AO43" i="15"/>
  <c r="AO72" i="15"/>
  <c r="AO98" i="15"/>
  <c r="AO99" i="15"/>
  <c r="AW99" i="15" s="1"/>
  <c r="AO100" i="15"/>
  <c r="AO101" i="15"/>
  <c r="AO102" i="15"/>
  <c r="AW102" i="15" s="1"/>
  <c r="AR109" i="15"/>
  <c r="AT7" i="21"/>
  <c r="AS7" i="21"/>
  <c r="AR7" i="21"/>
  <c r="AQ7" i="21"/>
  <c r="AP7" i="21"/>
  <c r="AO7" i="21"/>
  <c r="AX7" i="21" s="1"/>
  <c r="H7" i="21"/>
  <c r="D117" i="19"/>
  <c r="E117" i="19"/>
  <c r="F117" i="19"/>
  <c r="G117" i="19"/>
  <c r="D29" i="19"/>
  <c r="E29" i="19"/>
  <c r="F29" i="19"/>
  <c r="G29" i="19"/>
  <c r="D153" i="19"/>
  <c r="E153" i="19"/>
  <c r="F153" i="19"/>
  <c r="G153" i="19"/>
  <c r="D55" i="19"/>
  <c r="E55" i="19"/>
  <c r="F55" i="19"/>
  <c r="G55" i="19"/>
  <c r="D116" i="19"/>
  <c r="E116" i="19"/>
  <c r="F116" i="19"/>
  <c r="G116" i="19"/>
  <c r="D66" i="19"/>
  <c r="E66" i="19"/>
  <c r="F66" i="19"/>
  <c r="G66" i="19"/>
  <c r="D126" i="19"/>
  <c r="E126" i="19"/>
  <c r="F126" i="19"/>
  <c r="G126" i="19"/>
  <c r="D63" i="19"/>
  <c r="E63" i="19"/>
  <c r="F63" i="19"/>
  <c r="G63" i="19"/>
  <c r="D102" i="19"/>
  <c r="E102" i="19"/>
  <c r="F102" i="19"/>
  <c r="G102" i="19"/>
  <c r="D131" i="19"/>
  <c r="E131" i="19"/>
  <c r="F131" i="19"/>
  <c r="G131" i="19"/>
  <c r="D25" i="19"/>
  <c r="E25" i="19"/>
  <c r="F25" i="19"/>
  <c r="G25" i="19"/>
  <c r="D65" i="19"/>
  <c r="E65" i="19"/>
  <c r="F65" i="19"/>
  <c r="G65" i="19"/>
  <c r="D6" i="19"/>
  <c r="E6" i="19"/>
  <c r="F6" i="19"/>
  <c r="G6" i="19"/>
  <c r="D82" i="19"/>
  <c r="E82" i="19"/>
  <c r="F82" i="19"/>
  <c r="G82" i="19"/>
  <c r="D85" i="19"/>
  <c r="E85" i="19"/>
  <c r="F85" i="19"/>
  <c r="G85" i="19"/>
  <c r="D75" i="19"/>
  <c r="E75" i="19"/>
  <c r="F75" i="19"/>
  <c r="G75" i="19"/>
  <c r="D15" i="19"/>
  <c r="E15" i="19"/>
  <c r="F15" i="19"/>
  <c r="G15" i="19"/>
  <c r="D17" i="19"/>
  <c r="E17" i="19"/>
  <c r="F17" i="19"/>
  <c r="G17" i="19"/>
  <c r="D120" i="19"/>
  <c r="E120" i="19"/>
  <c r="F120" i="19"/>
  <c r="G120" i="19"/>
  <c r="D20" i="19"/>
  <c r="E20" i="19"/>
  <c r="F20" i="19"/>
  <c r="G20" i="19"/>
  <c r="D111" i="19"/>
  <c r="E111" i="19"/>
  <c r="F111" i="19"/>
  <c r="G111" i="19"/>
  <c r="D112" i="19"/>
  <c r="E112" i="19"/>
  <c r="F112" i="19"/>
  <c r="G112" i="19"/>
  <c r="E77" i="19"/>
  <c r="F77" i="19"/>
  <c r="G77" i="19"/>
  <c r="D8" i="19"/>
  <c r="E8" i="19"/>
  <c r="F8" i="19"/>
  <c r="G8" i="19"/>
  <c r="D4" i="19"/>
  <c r="E4" i="19"/>
  <c r="F4" i="19"/>
  <c r="G4" i="19"/>
  <c r="G24" i="19"/>
  <c r="F24" i="19"/>
  <c r="E24" i="19"/>
  <c r="D24" i="19"/>
  <c r="D108" i="19"/>
  <c r="E108" i="19"/>
  <c r="F108" i="19"/>
  <c r="G108" i="19"/>
  <c r="D31" i="19"/>
  <c r="E31" i="19"/>
  <c r="F31" i="19"/>
  <c r="G31" i="19"/>
  <c r="D32" i="19"/>
  <c r="E32" i="19"/>
  <c r="F32" i="19"/>
  <c r="G32" i="19"/>
  <c r="D148" i="19"/>
  <c r="E148" i="19"/>
  <c r="F148" i="19"/>
  <c r="G148" i="19"/>
  <c r="D135" i="19"/>
  <c r="E135" i="19"/>
  <c r="F135" i="19"/>
  <c r="G135" i="19"/>
  <c r="D152" i="19"/>
  <c r="E152" i="19"/>
  <c r="F152" i="19"/>
  <c r="G152" i="19"/>
  <c r="D23" i="19"/>
  <c r="E23" i="19"/>
  <c r="F23" i="19"/>
  <c r="G23" i="19"/>
  <c r="D125" i="19"/>
  <c r="E125" i="19"/>
  <c r="F125" i="19"/>
  <c r="G125" i="19"/>
  <c r="D99" i="19"/>
  <c r="E99" i="19"/>
  <c r="F99" i="19"/>
  <c r="G99" i="19"/>
  <c r="D118" i="19"/>
  <c r="E118" i="19"/>
  <c r="F118" i="19"/>
  <c r="G118" i="19"/>
  <c r="D100" i="19"/>
  <c r="E100" i="19"/>
  <c r="F100" i="19"/>
  <c r="G100" i="19"/>
  <c r="D101" i="19"/>
  <c r="E101" i="19"/>
  <c r="F101" i="19"/>
  <c r="G101" i="19"/>
  <c r="D50" i="19"/>
  <c r="E50" i="19"/>
  <c r="F50" i="19"/>
  <c r="G50" i="19"/>
  <c r="D51" i="19"/>
  <c r="E51" i="19"/>
  <c r="F51" i="19"/>
  <c r="G51" i="19"/>
  <c r="D124" i="19"/>
  <c r="E124" i="19"/>
  <c r="F124" i="19"/>
  <c r="G124" i="19"/>
  <c r="D58" i="19"/>
  <c r="E58" i="19"/>
  <c r="F58" i="19"/>
  <c r="G58" i="19"/>
  <c r="D64" i="19"/>
  <c r="E64" i="19"/>
  <c r="F64" i="19"/>
  <c r="G64" i="19"/>
  <c r="D107" i="19"/>
  <c r="E107" i="19"/>
  <c r="F107" i="19"/>
  <c r="G107" i="19"/>
  <c r="D149" i="19"/>
  <c r="E149" i="19"/>
  <c r="F149" i="19"/>
  <c r="G149" i="19"/>
  <c r="D150" i="19"/>
  <c r="E150" i="19"/>
  <c r="F150" i="19"/>
  <c r="G150" i="19"/>
  <c r="D45" i="19"/>
  <c r="E45" i="19"/>
  <c r="F45" i="19"/>
  <c r="G45" i="19"/>
  <c r="D103" i="19"/>
  <c r="E103" i="19"/>
  <c r="F103" i="19"/>
  <c r="G103" i="19"/>
  <c r="D104" i="19"/>
  <c r="E104" i="19"/>
  <c r="F104" i="19"/>
  <c r="G104" i="19"/>
  <c r="D105" i="19"/>
  <c r="E105" i="19"/>
  <c r="F105" i="19"/>
  <c r="G105" i="19"/>
  <c r="D106" i="19"/>
  <c r="E106" i="19"/>
  <c r="F106" i="19"/>
  <c r="G106" i="19"/>
  <c r="D80" i="19"/>
  <c r="E80" i="19"/>
  <c r="F80" i="19"/>
  <c r="G80" i="19"/>
  <c r="D81" i="19"/>
  <c r="E81" i="19"/>
  <c r="F81" i="19"/>
  <c r="G81" i="19"/>
  <c r="D68" i="19"/>
  <c r="E68" i="19"/>
  <c r="F68" i="19"/>
  <c r="G68" i="19"/>
  <c r="D26" i="19"/>
  <c r="E26" i="19"/>
  <c r="F26" i="19"/>
  <c r="G26" i="19"/>
  <c r="D27" i="19"/>
  <c r="E27" i="19"/>
  <c r="F27" i="19"/>
  <c r="G27" i="19"/>
  <c r="D28" i="19"/>
  <c r="E28" i="19"/>
  <c r="F28" i="19"/>
  <c r="G28" i="19"/>
  <c r="D74" i="19"/>
  <c r="E74" i="19"/>
  <c r="F74" i="19"/>
  <c r="G74" i="19"/>
  <c r="D67" i="19"/>
  <c r="E67" i="19"/>
  <c r="F67" i="19"/>
  <c r="G67" i="19"/>
  <c r="D115" i="19"/>
  <c r="E115" i="19"/>
  <c r="F115" i="19"/>
  <c r="G115" i="19"/>
  <c r="D79" i="19"/>
  <c r="E79" i="19"/>
  <c r="F79" i="19"/>
  <c r="G79" i="19"/>
  <c r="D35" i="19"/>
  <c r="D76" i="19"/>
  <c r="D77" i="19"/>
  <c r="D132" i="19"/>
  <c r="E132" i="19"/>
  <c r="F132" i="19"/>
  <c r="G132" i="19"/>
  <c r="D133" i="19"/>
  <c r="E133" i="19"/>
  <c r="F133" i="19"/>
  <c r="G133" i="19"/>
  <c r="D121" i="19"/>
  <c r="E121" i="19"/>
  <c r="F121" i="19"/>
  <c r="G121" i="19"/>
  <c r="D122" i="19"/>
  <c r="E122" i="19"/>
  <c r="F122" i="19"/>
  <c r="G122" i="19"/>
  <c r="D123" i="19"/>
  <c r="E123" i="19"/>
  <c r="F123" i="19"/>
  <c r="G123" i="19"/>
  <c r="D22" i="19"/>
  <c r="E22" i="19"/>
  <c r="F22" i="19"/>
  <c r="G22" i="19"/>
  <c r="D5" i="19"/>
  <c r="E5" i="19"/>
  <c r="F5" i="19"/>
  <c r="G5" i="19"/>
  <c r="D83" i="19"/>
  <c r="E83" i="19"/>
  <c r="F83" i="19"/>
  <c r="G83" i="19"/>
  <c r="D18" i="19"/>
  <c r="E18" i="19"/>
  <c r="F18" i="19"/>
  <c r="G18" i="19"/>
  <c r="D109" i="19"/>
  <c r="E109" i="19"/>
  <c r="F109" i="19"/>
  <c r="G109" i="19"/>
  <c r="D7" i="19"/>
  <c r="E7" i="19"/>
  <c r="F7" i="19"/>
  <c r="G7" i="19"/>
  <c r="D84" i="19"/>
  <c r="E84" i="19"/>
  <c r="F84" i="19"/>
  <c r="G84" i="19"/>
  <c r="D9" i="19"/>
  <c r="E9" i="19"/>
  <c r="F9" i="19"/>
  <c r="G9" i="19"/>
  <c r="D10" i="19"/>
  <c r="E10" i="19"/>
  <c r="F10" i="19"/>
  <c r="G10" i="19"/>
  <c r="D11" i="19"/>
  <c r="E11" i="19"/>
  <c r="F11" i="19"/>
  <c r="G11" i="19"/>
  <c r="D12" i="19"/>
  <c r="E12" i="19"/>
  <c r="F12" i="19"/>
  <c r="G12" i="19"/>
  <c r="D13" i="19"/>
  <c r="E13" i="19"/>
  <c r="F13" i="19"/>
  <c r="G13" i="19"/>
  <c r="D14" i="19"/>
  <c r="E14" i="19"/>
  <c r="F14" i="19"/>
  <c r="G14" i="19"/>
  <c r="D110" i="19"/>
  <c r="E110" i="19"/>
  <c r="F110" i="19"/>
  <c r="G110" i="19"/>
  <c r="D44" i="19"/>
  <c r="E44" i="19"/>
  <c r="F44" i="19"/>
  <c r="G44" i="19"/>
  <c r="D49" i="19"/>
  <c r="E49" i="19"/>
  <c r="F49" i="19"/>
  <c r="G49" i="19"/>
  <c r="D130" i="19"/>
  <c r="E130" i="19"/>
  <c r="F130" i="19"/>
  <c r="G130" i="19"/>
  <c r="D54" i="19"/>
  <c r="E54" i="19"/>
  <c r="F54" i="19"/>
  <c r="G54" i="19"/>
  <c r="D62" i="19"/>
  <c r="E62" i="19"/>
  <c r="F62" i="19"/>
  <c r="G62" i="19"/>
  <c r="D155" i="19"/>
  <c r="E155" i="19"/>
  <c r="F155" i="19"/>
  <c r="G155" i="19"/>
  <c r="D70" i="19"/>
  <c r="E70" i="19"/>
  <c r="F70" i="19"/>
  <c r="G70" i="19"/>
  <c r="D34" i="19"/>
  <c r="E34" i="19"/>
  <c r="F34" i="19"/>
  <c r="G34" i="19"/>
  <c r="E35" i="19"/>
  <c r="F35" i="19"/>
  <c r="G35" i="19"/>
  <c r="E76" i="19"/>
  <c r="F76" i="19"/>
  <c r="G76" i="19"/>
  <c r="D38" i="19"/>
  <c r="E38" i="19"/>
  <c r="F38" i="19"/>
  <c r="G38" i="19"/>
  <c r="D71" i="19"/>
  <c r="E71" i="19"/>
  <c r="F71" i="19"/>
  <c r="G71" i="19"/>
  <c r="D72" i="19"/>
  <c r="E72" i="19"/>
  <c r="F72" i="19"/>
  <c r="G72" i="19"/>
  <c r="D73" i="19"/>
  <c r="E73" i="19"/>
  <c r="F73" i="19"/>
  <c r="G73" i="19"/>
  <c r="D119" i="19"/>
  <c r="E119" i="19"/>
  <c r="F119" i="19"/>
  <c r="G119" i="19"/>
  <c r="D59" i="19"/>
  <c r="E59" i="19"/>
  <c r="F59" i="19"/>
  <c r="G59" i="19"/>
  <c r="D42" i="19"/>
  <c r="E42" i="19"/>
  <c r="F42" i="19"/>
  <c r="G42" i="19"/>
  <c r="D43" i="19"/>
  <c r="E43" i="19"/>
  <c r="F43" i="19"/>
  <c r="G43" i="19"/>
  <c r="D36" i="19"/>
  <c r="E36" i="19"/>
  <c r="F36" i="19"/>
  <c r="G36" i="19"/>
  <c r="D21" i="19"/>
  <c r="E21" i="19"/>
  <c r="F21" i="19"/>
  <c r="G21" i="19"/>
  <c r="D39" i="19"/>
  <c r="E39" i="19"/>
  <c r="F39" i="19"/>
  <c r="G39" i="19"/>
  <c r="D40" i="19"/>
  <c r="E40" i="19"/>
  <c r="F40" i="19"/>
  <c r="G40" i="19"/>
  <c r="D127" i="19"/>
  <c r="E127" i="19"/>
  <c r="F127" i="19"/>
  <c r="G127" i="19"/>
  <c r="D57" i="19"/>
  <c r="E57" i="19"/>
  <c r="F57" i="19"/>
  <c r="G57" i="19"/>
  <c r="D128" i="19"/>
  <c r="E128" i="19"/>
  <c r="F128" i="19"/>
  <c r="G128" i="19"/>
  <c r="D129" i="19"/>
  <c r="E129" i="19"/>
  <c r="F129" i="19"/>
  <c r="G129" i="19"/>
  <c r="D37" i="19"/>
  <c r="E37" i="19"/>
  <c r="F37" i="19"/>
  <c r="G37" i="19"/>
  <c r="D60" i="19"/>
  <c r="E60" i="19"/>
  <c r="F60" i="19"/>
  <c r="G60" i="19"/>
  <c r="D61" i="19"/>
  <c r="E61" i="19"/>
  <c r="F61" i="19"/>
  <c r="G61" i="19"/>
  <c r="D47" i="19"/>
  <c r="E47" i="19"/>
  <c r="F47" i="19"/>
  <c r="G47" i="19"/>
  <c r="D48" i="19"/>
  <c r="E48" i="19"/>
  <c r="F48" i="19"/>
  <c r="G48" i="19"/>
  <c r="D163" i="19"/>
  <c r="E163" i="19"/>
  <c r="F163" i="19"/>
  <c r="G163" i="19"/>
  <c r="D164" i="19"/>
  <c r="E164" i="19"/>
  <c r="F164" i="19"/>
  <c r="G164" i="19"/>
  <c r="D78" i="19"/>
  <c r="E78" i="19"/>
  <c r="F78" i="19"/>
  <c r="G78" i="19"/>
  <c r="D154" i="19"/>
  <c r="E154" i="19"/>
  <c r="F154" i="19"/>
  <c r="G154" i="19"/>
  <c r="D69" i="19"/>
  <c r="E69" i="19"/>
  <c r="F69" i="19"/>
  <c r="G69" i="19"/>
  <c r="D113" i="19"/>
  <c r="E113" i="19"/>
  <c r="F113" i="19"/>
  <c r="G113" i="19"/>
  <c r="D114" i="19"/>
  <c r="E114" i="19"/>
  <c r="F114" i="19"/>
  <c r="G114" i="19"/>
  <c r="D56" i="19"/>
  <c r="E56" i="19"/>
  <c r="F56" i="19"/>
  <c r="G56" i="19"/>
  <c r="G53" i="19"/>
  <c r="F53" i="19"/>
  <c r="E53" i="19"/>
  <c r="D53" i="19"/>
  <c r="AW43" i="15" l="1"/>
  <c r="AW100" i="15"/>
  <c r="AW98" i="15"/>
  <c r="AW97" i="15"/>
  <c r="AW72" i="15"/>
  <c r="AW104" i="15"/>
  <c r="AW34" i="15"/>
  <c r="AP109" i="15"/>
  <c r="AO109" i="15"/>
  <c r="AQ109" i="15"/>
  <c r="AX109" i="15"/>
  <c r="AT109" i="15"/>
  <c r="AS109" i="15"/>
  <c r="AS83" i="18"/>
  <c r="AR83" i="18"/>
  <c r="AQ83" i="18"/>
  <c r="AP83" i="18"/>
  <c r="AO83" i="18"/>
  <c r="AN83" i="18"/>
  <c r="AS82" i="18"/>
  <c r="AR82" i="18"/>
  <c r="AQ82" i="18"/>
  <c r="AP82" i="18"/>
  <c r="AO82" i="18"/>
  <c r="AN82" i="18"/>
  <c r="AS81" i="18"/>
  <c r="AR81" i="18"/>
  <c r="AQ81" i="18"/>
  <c r="AP81" i="18"/>
  <c r="AO81" i="18"/>
  <c r="AN81" i="18"/>
  <c r="AS80" i="18"/>
  <c r="AR80" i="18"/>
  <c r="AQ80" i="18"/>
  <c r="AP80" i="18"/>
  <c r="AO80" i="18"/>
  <c r="AN80" i="18"/>
  <c r="AS79" i="18"/>
  <c r="AR79" i="18"/>
  <c r="AQ79" i="18"/>
  <c r="AP79" i="18"/>
  <c r="AO79" i="18"/>
  <c r="AN79" i="18"/>
  <c r="AS78" i="18"/>
  <c r="AR78" i="18"/>
  <c r="AQ78" i="18"/>
  <c r="AP78" i="18"/>
  <c r="AO78" i="18"/>
  <c r="AN78" i="18"/>
  <c r="AS77" i="18"/>
  <c r="AR77" i="18"/>
  <c r="AQ77" i="18"/>
  <c r="AP77" i="18"/>
  <c r="AO77" i="18"/>
  <c r="AN77" i="18"/>
  <c r="AS76" i="18"/>
  <c r="AR76" i="18"/>
  <c r="AQ76" i="18"/>
  <c r="AP76" i="18"/>
  <c r="AO76" i="18"/>
  <c r="AN76" i="18"/>
  <c r="AS75" i="18"/>
  <c r="AR75" i="18"/>
  <c r="AQ75" i="18"/>
  <c r="AP75" i="18"/>
  <c r="AO75" i="18"/>
  <c r="AN75" i="18"/>
  <c r="AS74" i="18"/>
  <c r="AR74" i="18"/>
  <c r="AQ74" i="18"/>
  <c r="AP74" i="18"/>
  <c r="AO74" i="18"/>
  <c r="AN74" i="18"/>
  <c r="AS73" i="18"/>
  <c r="AR73" i="18"/>
  <c r="AQ73" i="18"/>
  <c r="AP73" i="18"/>
  <c r="AO73" i="18"/>
  <c r="AN73" i="18"/>
  <c r="AS72" i="18"/>
  <c r="AR72" i="18"/>
  <c r="AQ72" i="18"/>
  <c r="AP72" i="18"/>
  <c r="AO72" i="18"/>
  <c r="AN72" i="18"/>
  <c r="AS71" i="18"/>
  <c r="AR71" i="18"/>
  <c r="AQ71" i="18"/>
  <c r="AP71" i="18"/>
  <c r="AO71" i="18"/>
  <c r="AN71" i="18"/>
  <c r="AS70" i="18"/>
  <c r="AR70" i="18"/>
  <c r="AQ70" i="18"/>
  <c r="AP70" i="18"/>
  <c r="AO70" i="18"/>
  <c r="AN70" i="18"/>
  <c r="AS69" i="18"/>
  <c r="AR69" i="18"/>
  <c r="AQ69" i="18"/>
  <c r="AP69" i="18"/>
  <c r="AO69" i="18"/>
  <c r="AN69" i="18"/>
  <c r="AS68" i="18"/>
  <c r="AR68" i="18"/>
  <c r="AQ68" i="18"/>
  <c r="AP68" i="18"/>
  <c r="AO68" i="18"/>
  <c r="AN68" i="18"/>
  <c r="AS67" i="18"/>
  <c r="AR67" i="18"/>
  <c r="AQ67" i="18"/>
  <c r="AP67" i="18"/>
  <c r="AO67" i="18"/>
  <c r="AN67" i="18"/>
  <c r="AS66" i="18"/>
  <c r="AR66" i="18"/>
  <c r="AQ66" i="18"/>
  <c r="AP66" i="18"/>
  <c r="AO66" i="18"/>
  <c r="AN66" i="18"/>
  <c r="AS65" i="18"/>
  <c r="AR65" i="18"/>
  <c r="AQ65" i="18"/>
  <c r="AP65" i="18"/>
  <c r="AO65" i="18"/>
  <c r="AN65" i="18"/>
  <c r="AS64" i="18"/>
  <c r="AR64" i="18"/>
  <c r="AQ64" i="18"/>
  <c r="AP64" i="18"/>
  <c r="AO64" i="18"/>
  <c r="AN64" i="18"/>
  <c r="AS63" i="18"/>
  <c r="AR63" i="18"/>
  <c r="AQ63" i="18"/>
  <c r="AP63" i="18"/>
  <c r="AO63" i="18"/>
  <c r="AN63" i="18"/>
  <c r="AS62" i="18"/>
  <c r="AR62" i="18"/>
  <c r="AQ62" i="18"/>
  <c r="AP62" i="18"/>
  <c r="AO62" i="18"/>
  <c r="AN62" i="18"/>
  <c r="AS61" i="18"/>
  <c r="AR61" i="18"/>
  <c r="AQ61" i="18"/>
  <c r="AP61" i="18"/>
  <c r="AO61" i="18"/>
  <c r="AN61" i="18"/>
  <c r="AS60" i="18"/>
  <c r="AR60" i="18"/>
  <c r="AQ60" i="18"/>
  <c r="AP60" i="18"/>
  <c r="AO60" i="18"/>
  <c r="AN60" i="18"/>
  <c r="AS59" i="18"/>
  <c r="AR59" i="18"/>
  <c r="AQ59" i="18"/>
  <c r="AP59" i="18"/>
  <c r="AO59" i="18"/>
  <c r="AN59" i="18"/>
  <c r="AS58" i="18"/>
  <c r="AR58" i="18"/>
  <c r="AQ58" i="18"/>
  <c r="AP58" i="18"/>
  <c r="AO58" i="18"/>
  <c r="AN58" i="18"/>
  <c r="AS57" i="18"/>
  <c r="AR57" i="18"/>
  <c r="AQ57" i="18"/>
  <c r="AP57" i="18"/>
  <c r="AO57" i="18"/>
  <c r="AN57" i="18"/>
  <c r="AS56" i="18"/>
  <c r="AR56" i="18"/>
  <c r="AQ56" i="18"/>
  <c r="AP56" i="18"/>
  <c r="AO56" i="18"/>
  <c r="AN56" i="18"/>
  <c r="AS55" i="18"/>
  <c r="AR55" i="18"/>
  <c r="AQ55" i="18"/>
  <c r="AP55" i="18"/>
  <c r="AO55" i="18"/>
  <c r="AN55" i="18"/>
  <c r="AS54" i="18"/>
  <c r="AR54" i="18"/>
  <c r="AQ54" i="18"/>
  <c r="AP54" i="18"/>
  <c r="AO54" i="18"/>
  <c r="AN54" i="18"/>
  <c r="AS53" i="18"/>
  <c r="AR53" i="18"/>
  <c r="AQ53" i="18"/>
  <c r="AP53" i="18"/>
  <c r="AO53" i="18"/>
  <c r="AN53" i="18"/>
  <c r="AS52" i="18"/>
  <c r="AR52" i="18"/>
  <c r="AQ52" i="18"/>
  <c r="AP52" i="18"/>
  <c r="AO52" i="18"/>
  <c r="AN52" i="18"/>
  <c r="AS51" i="18"/>
  <c r="AR51" i="18"/>
  <c r="AQ51" i="18"/>
  <c r="AP51" i="18"/>
  <c r="AO51" i="18"/>
  <c r="AN51" i="18"/>
  <c r="AS50" i="18"/>
  <c r="AR50" i="18"/>
  <c r="AQ50" i="18"/>
  <c r="AP50" i="18"/>
  <c r="AO50" i="18"/>
  <c r="AN50" i="18"/>
  <c r="AS49" i="18"/>
  <c r="AR49" i="18"/>
  <c r="AQ49" i="18"/>
  <c r="AP49" i="18"/>
  <c r="AO49" i="18"/>
  <c r="AN49" i="18"/>
  <c r="AS48" i="18"/>
  <c r="AR48" i="18"/>
  <c r="AQ48" i="18"/>
  <c r="AP48" i="18"/>
  <c r="AO48" i="18"/>
  <c r="AN48" i="18"/>
  <c r="AS47" i="18"/>
  <c r="AR47" i="18"/>
  <c r="AQ47" i="18"/>
  <c r="AP47" i="18"/>
  <c r="AO47" i="18"/>
  <c r="AN47" i="18"/>
  <c r="AS46" i="18"/>
  <c r="AR46" i="18"/>
  <c r="AQ46" i="18"/>
  <c r="AP46" i="18"/>
  <c r="AO46" i="18"/>
  <c r="AN46" i="18"/>
  <c r="AS45" i="18"/>
  <c r="AR45" i="18"/>
  <c r="AQ45" i="18"/>
  <c r="AP45" i="18"/>
  <c r="AO45" i="18"/>
  <c r="AN45" i="18"/>
  <c r="AS44" i="18"/>
  <c r="AR44" i="18"/>
  <c r="AQ44" i="18"/>
  <c r="AP44" i="18"/>
  <c r="AO44" i="18"/>
  <c r="AN44" i="18"/>
  <c r="AS43" i="18"/>
  <c r="AR43" i="18"/>
  <c r="AQ43" i="18"/>
  <c r="AP43" i="18"/>
  <c r="AO43" i="18"/>
  <c r="AN43" i="18"/>
  <c r="AS42" i="18"/>
  <c r="AR42" i="18"/>
  <c r="AQ42" i="18"/>
  <c r="AP42" i="18"/>
  <c r="AO42" i="18"/>
  <c r="AN42" i="18"/>
  <c r="AS41" i="18"/>
  <c r="AR41" i="18"/>
  <c r="AQ41" i="18"/>
  <c r="AP41" i="18"/>
  <c r="AO41" i="18"/>
  <c r="AN41" i="18"/>
  <c r="AS40" i="18"/>
  <c r="AR40" i="18"/>
  <c r="AQ40" i="18"/>
  <c r="AP40" i="18"/>
  <c r="AO40" i="18"/>
  <c r="AN40" i="18"/>
  <c r="AS39" i="18"/>
  <c r="AR39" i="18"/>
  <c r="AQ39" i="18"/>
  <c r="AP39" i="18"/>
  <c r="AO39" i="18"/>
  <c r="AN39" i="18"/>
  <c r="AS38" i="18"/>
  <c r="AR38" i="18"/>
  <c r="AQ38" i="18"/>
  <c r="AP38" i="18"/>
  <c r="AO38" i="18"/>
  <c r="AN38" i="18"/>
  <c r="AS37" i="18"/>
  <c r="AR37" i="18"/>
  <c r="AQ37" i="18"/>
  <c r="AP37" i="18"/>
  <c r="AO37" i="18"/>
  <c r="AN37" i="18"/>
  <c r="AS36" i="18"/>
  <c r="AR36" i="18"/>
  <c r="AQ36" i="18"/>
  <c r="AP36" i="18"/>
  <c r="AO36" i="18"/>
  <c r="AN36" i="18"/>
  <c r="AS35" i="18"/>
  <c r="AR35" i="18"/>
  <c r="AQ35" i="18"/>
  <c r="AP35" i="18"/>
  <c r="AO35" i="18"/>
  <c r="AN35" i="18"/>
  <c r="AS34" i="18"/>
  <c r="AR34" i="18"/>
  <c r="AQ34" i="18"/>
  <c r="AP34" i="18"/>
  <c r="AO34" i="18"/>
  <c r="AN34" i="18"/>
  <c r="AS33" i="18"/>
  <c r="AR33" i="18"/>
  <c r="AQ33" i="18"/>
  <c r="AP33" i="18"/>
  <c r="AO33" i="18"/>
  <c r="AN33" i="18"/>
  <c r="AS32" i="18"/>
  <c r="AR32" i="18"/>
  <c r="AQ32" i="18"/>
  <c r="AP32" i="18"/>
  <c r="AO32" i="18"/>
  <c r="AN32" i="18"/>
  <c r="AS31" i="18"/>
  <c r="AR31" i="18"/>
  <c r="AQ31" i="18"/>
  <c r="AP31" i="18"/>
  <c r="AO31" i="18"/>
  <c r="AN31" i="18"/>
  <c r="AS30" i="18"/>
  <c r="AR30" i="18"/>
  <c r="AQ30" i="18"/>
  <c r="AP30" i="18"/>
  <c r="AO30" i="18"/>
  <c r="AN30" i="18"/>
  <c r="AS29" i="18"/>
  <c r="AR29" i="18"/>
  <c r="AQ29" i="18"/>
  <c r="AP29" i="18"/>
  <c r="AO29" i="18"/>
  <c r="AN29" i="18"/>
  <c r="AS28" i="18"/>
  <c r="AR28" i="18"/>
  <c r="AQ28" i="18"/>
  <c r="AP28" i="18"/>
  <c r="AO28" i="18"/>
  <c r="AN28" i="18"/>
  <c r="AS27" i="18"/>
  <c r="AR27" i="18"/>
  <c r="AQ27" i="18"/>
  <c r="AP27" i="18"/>
  <c r="AO27" i="18"/>
  <c r="AN27" i="18"/>
  <c r="AS25" i="18"/>
  <c r="AR25" i="18"/>
  <c r="AQ25" i="18"/>
  <c r="AP25" i="18"/>
  <c r="AO25" i="18"/>
  <c r="AN25" i="18"/>
  <c r="AS24" i="18"/>
  <c r="AR24" i="18"/>
  <c r="AQ24" i="18"/>
  <c r="AP24" i="18"/>
  <c r="AO24" i="18"/>
  <c r="AN24" i="18"/>
  <c r="AS23" i="18"/>
  <c r="AR23" i="18"/>
  <c r="AQ23" i="18"/>
  <c r="AP23" i="18"/>
  <c r="AO23" i="18"/>
  <c r="AN23" i="18"/>
  <c r="AS22" i="18"/>
  <c r="AR22" i="18"/>
  <c r="AQ22" i="18"/>
  <c r="AP22" i="18"/>
  <c r="AO22" i="18"/>
  <c r="AN22" i="18"/>
  <c r="AS21" i="18"/>
  <c r="AR21" i="18"/>
  <c r="AQ21" i="18"/>
  <c r="AP21" i="18"/>
  <c r="AO21" i="18"/>
  <c r="AN21" i="18"/>
  <c r="AS20" i="18"/>
  <c r="AR20" i="18"/>
  <c r="AQ20" i="18"/>
  <c r="AP20" i="18"/>
  <c r="AO20" i="18"/>
  <c r="AN20" i="18"/>
  <c r="AS19" i="18"/>
  <c r="AR19" i="18"/>
  <c r="AQ19" i="18"/>
  <c r="AP19" i="18"/>
  <c r="AO19" i="18"/>
  <c r="AN19" i="18"/>
  <c r="AS18" i="18"/>
  <c r="AR18" i="18"/>
  <c r="AQ18" i="18"/>
  <c r="AP18" i="18"/>
  <c r="AO18" i="18"/>
  <c r="AN18" i="18"/>
  <c r="AS17" i="18"/>
  <c r="AR17" i="18"/>
  <c r="AQ17" i="18"/>
  <c r="AP17" i="18"/>
  <c r="AO17" i="18"/>
  <c r="AN17" i="18"/>
  <c r="AS16" i="18"/>
  <c r="AR16" i="18"/>
  <c r="AQ16" i="18"/>
  <c r="AP16" i="18"/>
  <c r="AO16" i="18"/>
  <c r="AN16" i="18"/>
  <c r="AS15" i="18"/>
  <c r="AR15" i="18"/>
  <c r="AQ15" i="18"/>
  <c r="AP15" i="18"/>
  <c r="AO15" i="18"/>
  <c r="AN15" i="18"/>
  <c r="AS14" i="18"/>
  <c r="AR14" i="18"/>
  <c r="AQ14" i="18"/>
  <c r="AP14" i="18"/>
  <c r="AO14" i="18"/>
  <c r="AN14" i="18"/>
  <c r="AS13" i="18"/>
  <c r="AR13" i="18"/>
  <c r="AQ13" i="18"/>
  <c r="AP13" i="18"/>
  <c r="AO13" i="18"/>
  <c r="AN13" i="18"/>
  <c r="AS12" i="18"/>
  <c r="AR12" i="18"/>
  <c r="AQ12" i="18"/>
  <c r="AP12" i="18"/>
  <c r="AO12" i="18"/>
  <c r="AN12" i="18"/>
  <c r="AS11" i="18"/>
  <c r="AR11" i="18"/>
  <c r="AQ11" i="18"/>
  <c r="AP11" i="18"/>
  <c r="AO11" i="18"/>
  <c r="AN11" i="18"/>
  <c r="AS10" i="18"/>
  <c r="AR10" i="18"/>
  <c r="AQ10" i="18"/>
  <c r="AP10" i="18"/>
  <c r="AO10" i="18"/>
  <c r="AN10" i="18"/>
  <c r="AS9" i="18"/>
  <c r="AR9" i="18"/>
  <c r="AQ9" i="18"/>
  <c r="AP9" i="18"/>
  <c r="AO9" i="18"/>
  <c r="AN9" i="18"/>
  <c r="AS8" i="18"/>
  <c r="AR8" i="18"/>
  <c r="AQ8" i="18"/>
  <c r="AP8" i="18"/>
  <c r="AO8" i="18"/>
  <c r="AN8" i="18"/>
  <c r="AW109" i="15" l="1"/>
  <c r="AO126" i="17"/>
  <c r="AM126" i="17" s="1"/>
  <c r="AO127" i="17"/>
  <c r="AM127" i="17" s="1"/>
  <c r="AO15" i="17" l="1"/>
  <c r="AM15" i="17" s="1"/>
  <c r="AO16" i="17"/>
  <c r="AM16" i="17" s="1"/>
  <c r="AO17" i="17"/>
  <c r="AM17" i="17" s="1"/>
  <c r="AO18" i="17"/>
  <c r="AM18" i="17" s="1"/>
  <c r="AO19" i="17"/>
  <c r="AM19" i="17" s="1"/>
  <c r="AO20" i="17"/>
  <c r="AM20" i="17" s="1"/>
  <c r="AO21" i="17"/>
  <c r="AM21" i="17" s="1"/>
  <c r="AO22" i="17"/>
  <c r="AM22" i="17" s="1"/>
  <c r="AO23" i="17"/>
  <c r="AM23" i="17" s="1"/>
  <c r="AO24" i="17"/>
  <c r="AM24" i="17" s="1"/>
  <c r="AO25" i="17"/>
  <c r="AM25" i="17" s="1"/>
  <c r="AO26" i="17"/>
  <c r="AM26" i="17" s="1"/>
  <c r="AO27" i="17"/>
  <c r="AM27" i="17" s="1"/>
  <c r="AO28" i="17"/>
  <c r="AM28" i="17" s="1"/>
  <c r="AO29" i="17"/>
  <c r="AM29" i="17" s="1"/>
  <c r="AO30" i="17"/>
  <c r="AM30" i="17" s="1"/>
  <c r="AO31" i="17"/>
  <c r="AM31" i="17" s="1"/>
  <c r="AO32" i="17"/>
  <c r="AM32" i="17" s="1"/>
  <c r="AO33" i="17"/>
  <c r="AM33" i="17" s="1"/>
  <c r="AO34" i="17"/>
  <c r="AM34" i="17" s="1"/>
  <c r="AO35" i="17"/>
  <c r="AM35" i="17" s="1"/>
  <c r="AO36" i="17"/>
  <c r="AM36" i="17" s="1"/>
  <c r="AO37" i="17"/>
  <c r="AM37" i="17" s="1"/>
  <c r="AO38" i="17"/>
  <c r="AM38" i="17" s="1"/>
  <c r="AO39" i="17"/>
  <c r="AM39" i="17" s="1"/>
  <c r="AO40" i="17"/>
  <c r="AM40" i="17" s="1"/>
  <c r="AO41" i="17"/>
  <c r="AM41" i="17" s="1"/>
  <c r="AO42" i="17"/>
  <c r="AM42" i="17" s="1"/>
  <c r="AO43" i="17"/>
  <c r="AM43" i="17" s="1"/>
  <c r="AO44" i="17"/>
  <c r="AM44" i="17" s="1"/>
  <c r="AO45" i="17"/>
  <c r="AM45" i="17" s="1"/>
  <c r="AO46" i="17"/>
  <c r="AM46" i="17" s="1"/>
  <c r="AO47" i="17"/>
  <c r="AM47" i="17" s="1"/>
  <c r="AO48" i="17"/>
  <c r="AM48" i="17" s="1"/>
  <c r="AO49" i="17"/>
  <c r="AM49" i="17" s="1"/>
  <c r="AO50" i="17"/>
  <c r="AM50" i="17" s="1"/>
  <c r="AO51" i="17"/>
  <c r="AM51" i="17" s="1"/>
  <c r="AO52" i="17"/>
  <c r="AM52" i="17" s="1"/>
  <c r="AO53" i="17"/>
  <c r="AM53" i="17" s="1"/>
  <c r="AO54" i="17"/>
  <c r="AM54" i="17" s="1"/>
  <c r="AO55" i="17"/>
  <c r="AM55" i="17" s="1"/>
  <c r="AO56" i="17"/>
  <c r="AM56" i="17" s="1"/>
  <c r="AO57" i="17"/>
  <c r="AM57" i="17" s="1"/>
  <c r="AO58" i="17"/>
  <c r="AM58" i="17" s="1"/>
  <c r="AO59" i="17"/>
  <c r="AM59" i="17" s="1"/>
  <c r="AO60" i="17"/>
  <c r="AM60" i="17" s="1"/>
  <c r="AO61" i="17"/>
  <c r="AM61" i="17" s="1"/>
  <c r="AO62" i="17"/>
  <c r="AM62" i="17" s="1"/>
  <c r="AO63" i="17"/>
  <c r="AM63" i="17" s="1"/>
  <c r="AO64" i="17"/>
  <c r="AM64" i="17" s="1"/>
  <c r="AO65" i="17"/>
  <c r="AM65" i="17" s="1"/>
  <c r="AO66" i="17"/>
  <c r="AM66" i="17" s="1"/>
  <c r="AO67" i="17"/>
  <c r="AM67" i="17" s="1"/>
  <c r="AO68" i="17"/>
  <c r="AM68" i="17" s="1"/>
  <c r="AO69" i="17"/>
  <c r="AM69" i="17" s="1"/>
  <c r="AO70" i="17"/>
  <c r="AM70" i="17" s="1"/>
  <c r="AO71" i="17"/>
  <c r="AM71" i="17" s="1"/>
  <c r="AO72" i="17"/>
  <c r="AM72" i="17" s="1"/>
  <c r="AO73" i="17"/>
  <c r="AM73" i="17" s="1"/>
  <c r="AO74" i="17"/>
  <c r="AM74" i="17" s="1"/>
  <c r="AO75" i="17"/>
  <c r="AM75" i="17" s="1"/>
  <c r="AO76" i="17"/>
  <c r="AM76" i="17" s="1"/>
  <c r="AO77" i="17"/>
  <c r="AM77" i="17" s="1"/>
  <c r="AO78" i="17"/>
  <c r="AM78" i="17" s="1"/>
  <c r="AO79" i="17"/>
  <c r="AM79" i="17" s="1"/>
  <c r="AO80" i="17"/>
  <c r="AM80" i="17" s="1"/>
  <c r="AO81" i="17"/>
  <c r="AM81" i="17" s="1"/>
  <c r="AO82" i="17"/>
  <c r="AM82" i="17" s="1"/>
  <c r="AO83" i="17"/>
  <c r="AM83" i="17" s="1"/>
  <c r="AO84" i="17"/>
  <c r="AM84" i="17" s="1"/>
  <c r="AO85" i="17"/>
  <c r="AM85" i="17" s="1"/>
  <c r="AO86" i="17"/>
  <c r="AM86" i="17" s="1"/>
  <c r="AO87" i="17"/>
  <c r="AM87" i="17" s="1"/>
  <c r="AO88" i="17"/>
  <c r="AM88" i="17" s="1"/>
  <c r="AO89" i="17"/>
  <c r="AM89" i="17" s="1"/>
  <c r="AO90" i="17"/>
  <c r="AM90" i="17" s="1"/>
  <c r="AO91" i="17"/>
  <c r="AM91" i="17" s="1"/>
  <c r="AO92" i="17"/>
  <c r="AM92" i="17" s="1"/>
  <c r="AO93" i="17"/>
  <c r="AM93" i="17" s="1"/>
  <c r="AO94" i="17"/>
  <c r="AM94" i="17" s="1"/>
  <c r="AO95" i="17"/>
  <c r="AM95" i="17" s="1"/>
  <c r="AO96" i="17"/>
  <c r="AM96" i="17" s="1"/>
  <c r="AO97" i="17"/>
  <c r="AM97" i="17" s="1"/>
  <c r="AO98" i="17"/>
  <c r="AM98" i="17" s="1"/>
  <c r="AO99" i="17"/>
  <c r="AM99" i="17" s="1"/>
  <c r="AO100" i="17"/>
  <c r="AM100" i="17" s="1"/>
  <c r="AO101" i="17"/>
  <c r="AM101" i="17" s="1"/>
  <c r="AO102" i="17"/>
  <c r="AM102" i="17" s="1"/>
  <c r="AO103" i="17"/>
  <c r="AM103" i="17" s="1"/>
  <c r="AO104" i="17"/>
  <c r="AM104" i="17" s="1"/>
  <c r="AO105" i="17"/>
  <c r="AM105" i="17" s="1"/>
  <c r="AO106" i="17"/>
  <c r="AM106" i="17" s="1"/>
  <c r="AO107" i="17"/>
  <c r="AM107" i="17" s="1"/>
  <c r="AO108" i="17"/>
  <c r="AM108" i="17" s="1"/>
  <c r="AO109" i="17"/>
  <c r="AM109" i="17" s="1"/>
  <c r="AO110" i="17"/>
  <c r="AM110" i="17" s="1"/>
  <c r="AO111" i="17"/>
  <c r="AM111" i="17" s="1"/>
  <c r="AO112" i="17"/>
  <c r="AM112" i="17" s="1"/>
  <c r="AO113" i="17"/>
  <c r="AM113" i="17" s="1"/>
  <c r="AO114" i="17"/>
  <c r="AM114" i="17" s="1"/>
  <c r="AO115" i="17"/>
  <c r="AM115" i="17" s="1"/>
  <c r="AO116" i="17"/>
  <c r="AM116" i="17" s="1"/>
  <c r="AO117" i="17"/>
  <c r="AM117" i="17" s="1"/>
  <c r="AO118" i="17"/>
  <c r="AM118" i="17" s="1"/>
  <c r="AO119" i="17"/>
  <c r="AM119" i="17" s="1"/>
  <c r="AO121" i="17"/>
  <c r="AM121" i="17" s="1"/>
  <c r="AO122" i="17"/>
  <c r="AM122" i="17" s="1"/>
  <c r="AO123" i="17"/>
  <c r="AM123" i="17" s="1"/>
  <c r="AO124" i="17"/>
  <c r="AM124" i="17" s="1"/>
  <c r="AO125" i="17"/>
  <c r="AM125" i="17" s="1"/>
  <c r="AO14" i="17"/>
  <c r="AM14" i="17" s="1"/>
  <c r="AO9" i="17"/>
  <c r="AM9" i="17" s="1"/>
  <c r="AO10" i="17"/>
  <c r="AM10" i="17" s="1"/>
  <c r="AO11" i="17"/>
  <c r="AM11" i="17" s="1"/>
  <c r="AO12" i="17"/>
  <c r="AM12" i="17" s="1"/>
  <c r="AO13" i="17"/>
  <c r="AM13" i="17" s="1"/>
  <c r="AO8" i="17"/>
  <c r="AM8" i="17" s="1"/>
  <c r="AQ38" i="15" l="1"/>
  <c r="AT56" i="15"/>
  <c r="AP70" i="15"/>
  <c r="AO95" i="15"/>
  <c r="AO24" i="15"/>
  <c r="AO39" i="15"/>
  <c r="AX57" i="15"/>
  <c r="AS71" i="15"/>
  <c r="AO86" i="15"/>
  <c r="AO40" i="15"/>
  <c r="AO58" i="15"/>
  <c r="AS26" i="15"/>
  <c r="AP74" i="15"/>
  <c r="AS27" i="15"/>
  <c r="AR89" i="15"/>
  <c r="AP28" i="15"/>
  <c r="AP47" i="15"/>
  <c r="AR10" i="15"/>
  <c r="AP87" i="15"/>
  <c r="AO12" i="15"/>
  <c r="AX59" i="15"/>
  <c r="AR88" i="15"/>
  <c r="AP13" i="15"/>
  <c r="AW13" i="15" s="1"/>
  <c r="AQ44" i="15"/>
  <c r="AQ60" i="15"/>
  <c r="AR75" i="15"/>
  <c r="AT45" i="15"/>
  <c r="AS61" i="15"/>
  <c r="AP76" i="15"/>
  <c r="AP90" i="15"/>
  <c r="AX62" i="15"/>
  <c r="AX77" i="15"/>
  <c r="AS91" i="15"/>
  <c r="AO16" i="15"/>
  <c r="AS30" i="15"/>
  <c r="AX48" i="15"/>
  <c r="AQ92" i="15"/>
  <c r="AX17" i="15"/>
  <c r="AS31" i="15"/>
  <c r="AP50" i="15"/>
  <c r="AP64" i="15"/>
  <c r="AP18" i="15"/>
  <c r="AX32" i="15"/>
  <c r="AP51" i="15"/>
  <c r="AP65" i="15"/>
  <c r="AQ80" i="15"/>
  <c r="AP96" i="15"/>
  <c r="AT19" i="15"/>
  <c r="AP52" i="15"/>
  <c r="AS66" i="15"/>
  <c r="AR81" i="15"/>
  <c r="AO46" i="15"/>
  <c r="AQ20" i="15"/>
  <c r="AS35" i="15"/>
  <c r="AP53" i="15"/>
  <c r="AP67" i="15"/>
  <c r="AT82" i="15"/>
  <c r="AX49" i="15"/>
  <c r="AX21" i="15"/>
  <c r="AO54" i="15"/>
  <c r="AQ68" i="15"/>
  <c r="AP83" i="15"/>
  <c r="AO93" i="15"/>
  <c r="AS22" i="15"/>
  <c r="AR37" i="15"/>
  <c r="AP55" i="15"/>
  <c r="AP69" i="15"/>
  <c r="AO84" i="15"/>
  <c r="AT94" i="15"/>
  <c r="AQ29" i="15"/>
  <c r="AO78" i="15"/>
  <c r="AR79" i="15"/>
  <c r="AO87" i="15"/>
  <c r="AX61" i="15"/>
  <c r="AQ61" i="15"/>
  <c r="AP61" i="15"/>
  <c r="AT61" i="15"/>
  <c r="AQ48" i="15"/>
  <c r="AT48" i="15"/>
  <c r="AR48" i="15"/>
  <c r="AO37" i="15"/>
  <c r="AX46" i="15"/>
  <c r="AT46" i="15"/>
  <c r="AR84" i="15"/>
  <c r="AS84" i="15"/>
  <c r="AO69" i="15"/>
  <c r="AQ69" i="15"/>
  <c r="AQ12" i="15"/>
  <c r="AS12" i="15"/>
  <c r="AX51" i="15"/>
  <c r="AT51" i="15"/>
  <c r="AP86" i="15"/>
  <c r="AQ86" i="15"/>
  <c r="AR86" i="15"/>
  <c r="AQ67" i="15"/>
  <c r="AQ81" i="15"/>
  <c r="AX81" i="15"/>
  <c r="AR77" i="15"/>
  <c r="AT77" i="15"/>
  <c r="AP11" i="15"/>
  <c r="AQ11" i="15"/>
  <c r="AO11" i="15"/>
  <c r="AR11" i="15"/>
  <c r="AS11" i="15"/>
  <c r="AT11" i="15"/>
  <c r="AP17" i="15"/>
  <c r="AO17" i="15"/>
  <c r="AW17" i="15" s="1"/>
  <c r="AS17" i="15"/>
  <c r="AR17" i="15"/>
  <c r="AT17" i="15"/>
  <c r="AO22" i="15"/>
  <c r="AX22" i="15"/>
  <c r="AT22" i="15"/>
  <c r="AQ18" i="15"/>
  <c r="AO18" i="15"/>
  <c r="AS18" i="15"/>
  <c r="AT18" i="15"/>
  <c r="AO83" i="15"/>
  <c r="AW83" i="15" s="1"/>
  <c r="AT83" i="15"/>
  <c r="AS83" i="15"/>
  <c r="AT50" i="15"/>
  <c r="AX39" i="15"/>
  <c r="AP39" i="15"/>
  <c r="AT39" i="15"/>
  <c r="AO20" i="15"/>
  <c r="AP20" i="15"/>
  <c r="AR20" i="15"/>
  <c r="AT20" i="15"/>
  <c r="AP36" i="15"/>
  <c r="AQ36" i="15"/>
  <c r="AX36" i="15"/>
  <c r="AO36" i="15"/>
  <c r="AT36" i="15"/>
  <c r="AS36" i="15"/>
  <c r="AR36" i="15"/>
  <c r="AO14" i="15"/>
  <c r="AP14" i="15"/>
  <c r="AQ14" i="15"/>
  <c r="AR14" i="15"/>
  <c r="AT14" i="15"/>
  <c r="AS14" i="15"/>
  <c r="AO89" i="15"/>
  <c r="AQ89" i="15"/>
  <c r="AP75" i="15"/>
  <c r="AO75" i="15"/>
  <c r="AX88" i="15"/>
  <c r="AO70" i="15"/>
  <c r="AS70" i="15"/>
  <c r="AR70" i="15"/>
  <c r="AQ66" i="15"/>
  <c r="AX66" i="15"/>
  <c r="AP66" i="15"/>
  <c r="AT66" i="15"/>
  <c r="AX56" i="15"/>
  <c r="AS56" i="15"/>
  <c r="AP95" i="15"/>
  <c r="AS95" i="15"/>
  <c r="AT95" i="15"/>
  <c r="AO90" i="15"/>
  <c r="AW90" i="15" s="1"/>
  <c r="AR90" i="15"/>
  <c r="AX85" i="15"/>
  <c r="AO85" i="15"/>
  <c r="AQ85" i="15"/>
  <c r="AP85" i="15"/>
  <c r="AT85" i="15"/>
  <c r="AS85" i="15"/>
  <c r="AR85" i="15"/>
  <c r="AO68" i="15"/>
  <c r="AP68" i="15"/>
  <c r="AX68" i="15"/>
  <c r="AT68" i="15"/>
  <c r="AS68" i="15"/>
  <c r="AR68" i="15"/>
  <c r="AO63" i="15"/>
  <c r="AQ63" i="15"/>
  <c r="AP63" i="15"/>
  <c r="AX63" i="15"/>
  <c r="AS63" i="15"/>
  <c r="AR63" i="15"/>
  <c r="AT63" i="15"/>
  <c r="AO74" i="15"/>
  <c r="AW74" i="15" s="1"/>
  <c r="AT74" i="15"/>
  <c r="AX54" i="15"/>
  <c r="AQ54" i="15"/>
  <c r="AT54" i="15"/>
  <c r="AR54" i="15"/>
  <c r="AS54" i="15"/>
  <c r="AP59" i="15"/>
  <c r="AS59" i="15"/>
  <c r="AR59" i="15"/>
  <c r="AP33" i="15"/>
  <c r="AX33" i="15"/>
  <c r="AQ33" i="15"/>
  <c r="AO33" i="15"/>
  <c r="AR33" i="15"/>
  <c r="AS33" i="15"/>
  <c r="AT33" i="15"/>
  <c r="AQ42" i="15"/>
  <c r="AO42" i="15"/>
  <c r="AX42" i="15"/>
  <c r="AP42" i="15"/>
  <c r="AT42" i="15"/>
  <c r="AR42" i="15"/>
  <c r="AS42" i="15"/>
  <c r="AO38" i="15"/>
  <c r="AX38" i="15"/>
  <c r="AP38" i="15"/>
  <c r="AR38" i="15"/>
  <c r="AT38" i="15"/>
  <c r="AS38" i="15"/>
  <c r="AO76" i="15"/>
  <c r="AW76" i="15" s="1"/>
  <c r="AR76" i="15"/>
  <c r="AT76" i="15"/>
  <c r="AQ15" i="15"/>
  <c r="AO15" i="15"/>
  <c r="AP15" i="15"/>
  <c r="AX15" i="15"/>
  <c r="AR15" i="15"/>
  <c r="AT15" i="15"/>
  <c r="AS15" i="15"/>
  <c r="AQ10" i="15"/>
  <c r="AP10" i="15"/>
  <c r="AO10" i="15"/>
  <c r="AT10" i="15"/>
  <c r="AS10" i="15"/>
  <c r="AP27" i="15"/>
  <c r="AO27" i="15"/>
  <c r="AQ27" i="15"/>
  <c r="AT27" i="15"/>
  <c r="AR27" i="15"/>
  <c r="AQ64" i="15"/>
  <c r="AO64" i="15"/>
  <c r="AS64" i="15"/>
  <c r="AX13" i="15"/>
  <c r="AR13" i="15"/>
  <c r="AT13" i="15"/>
  <c r="AS13" i="15"/>
  <c r="AR93" i="15"/>
  <c r="AP45" i="15"/>
  <c r="AO45" i="15"/>
  <c r="AQ45" i="15"/>
  <c r="AX45" i="15"/>
  <c r="AR45" i="15"/>
  <c r="AX41" i="15"/>
  <c r="AQ41" i="15"/>
  <c r="AO41" i="15"/>
  <c r="AP41" i="15"/>
  <c r="AT41" i="15"/>
  <c r="AR41" i="15"/>
  <c r="AS41" i="15"/>
  <c r="AO8" i="15"/>
  <c r="AQ8" i="15"/>
  <c r="AP8" i="15"/>
  <c r="AR8" i="15"/>
  <c r="AT8" i="15"/>
  <c r="AS8" i="15"/>
  <c r="AQ31" i="15"/>
  <c r="AX31" i="15"/>
  <c r="AP31" i="15"/>
  <c r="AR31" i="15"/>
  <c r="AX23" i="15"/>
  <c r="AP23" i="15"/>
  <c r="AO23" i="15"/>
  <c r="AW23" i="15" s="1"/>
  <c r="AQ23" i="15"/>
  <c r="AS23" i="15"/>
  <c r="AT23" i="15"/>
  <c r="AR23" i="15"/>
  <c r="AQ73" i="15"/>
  <c r="AO73" i="15"/>
  <c r="AP73" i="15"/>
  <c r="AX73" i="15"/>
  <c r="AR73" i="15"/>
  <c r="AS73" i="15"/>
  <c r="AT73" i="15"/>
  <c r="AQ40" i="15"/>
  <c r="AO79" i="15"/>
  <c r="AS79" i="15"/>
  <c r="AT79" i="15"/>
  <c r="AQ25" i="15"/>
  <c r="AO25" i="15"/>
  <c r="AP25" i="15"/>
  <c r="AR25" i="15"/>
  <c r="AS25" i="15"/>
  <c r="AT25" i="15"/>
  <c r="AX52" i="15"/>
  <c r="AQ52" i="15"/>
  <c r="AO52" i="15"/>
  <c r="AW52" i="15" s="1"/>
  <c r="AR52" i="15"/>
  <c r="AT52" i="15"/>
  <c r="AQ65" i="15"/>
  <c r="AX65" i="15"/>
  <c r="AO65" i="15"/>
  <c r="AW65" i="15" s="1"/>
  <c r="AT62" i="15"/>
  <c r="AS62" i="15"/>
  <c r="AT80" i="15"/>
  <c r="AS80" i="15"/>
  <c r="AP82" i="15"/>
  <c r="AX82" i="15"/>
  <c r="AQ78" i="15"/>
  <c r="AS78" i="15"/>
  <c r="AR78" i="15"/>
  <c r="AT78" i="15"/>
  <c r="AO9" i="15"/>
  <c r="AP9" i="15"/>
  <c r="AQ9" i="15"/>
  <c r="AT9" i="15"/>
  <c r="AS9" i="15"/>
  <c r="AR9" i="15"/>
  <c r="AW25" i="15" l="1"/>
  <c r="AW68" i="15"/>
  <c r="AW45" i="15"/>
  <c r="AW27" i="15"/>
  <c r="AW20" i="15"/>
  <c r="AW86" i="15"/>
  <c r="AW64" i="15"/>
  <c r="AW95" i="15"/>
  <c r="AW42" i="15"/>
  <c r="AW18" i="15"/>
  <c r="AW87" i="15"/>
  <c r="AW38" i="15"/>
  <c r="AW33" i="15"/>
  <c r="AW85" i="15"/>
  <c r="AW70" i="15"/>
  <c r="AW63" i="15"/>
  <c r="AW36" i="15"/>
  <c r="AW39" i="15"/>
  <c r="AW41" i="15"/>
  <c r="AW15" i="15"/>
  <c r="AW75" i="15"/>
  <c r="AW69" i="15"/>
  <c r="AW73" i="15"/>
  <c r="AS24" i="15"/>
  <c r="AR19" i="15"/>
  <c r="AX92" i="15"/>
  <c r="AQ19" i="15"/>
  <c r="AT84" i="15"/>
  <c r="AX78" i="15"/>
  <c r="AQ13" i="15"/>
  <c r="AT16" i="15"/>
  <c r="AT57" i="15"/>
  <c r="AT71" i="15"/>
  <c r="AQ30" i="15"/>
  <c r="AT87" i="15"/>
  <c r="AP78" i="15"/>
  <c r="AW78" i="15" s="1"/>
  <c r="AP62" i="15"/>
  <c r="AS52" i="15"/>
  <c r="AX79" i="15"/>
  <c r="AO103" i="15"/>
  <c r="AW103" i="15" s="1"/>
  <c r="AS45" i="15"/>
  <c r="AR44" i="15"/>
  <c r="AR16" i="15"/>
  <c r="AS32" i="15"/>
  <c r="AS57" i="15"/>
  <c r="AR39" i="15"/>
  <c r="AP71" i="15"/>
  <c r="AQ17" i="15"/>
  <c r="AT67" i="15"/>
  <c r="AS29" i="15"/>
  <c r="AS87" i="15"/>
  <c r="AO21" i="15"/>
  <c r="AX75" i="15"/>
  <c r="AO91" i="15"/>
  <c r="AP81" i="15"/>
  <c r="AQ84" i="15"/>
  <c r="AQ79" i="15"/>
  <c r="AP21" i="15"/>
  <c r="AP56" i="15"/>
  <c r="AW56" i="15" s="1"/>
  <c r="AQ62" i="15"/>
  <c r="AP79" i="15"/>
  <c r="AW79" i="15" s="1"/>
  <c r="AT44" i="15"/>
  <c r="AS16" i="15"/>
  <c r="AT32" i="15"/>
  <c r="AP57" i="15"/>
  <c r="AS39" i="15"/>
  <c r="AQ71" i="15"/>
  <c r="AR67" i="15"/>
  <c r="AP29" i="15"/>
  <c r="AP37" i="15"/>
  <c r="AW37" i="15" s="1"/>
  <c r="AR87" i="15"/>
  <c r="AT65" i="15"/>
  <c r="AO44" i="15"/>
  <c r="AX16" i="15"/>
  <c r="AO57" i="15"/>
  <c r="AS67" i="15"/>
  <c r="AO29" i="15"/>
  <c r="AR82" i="15"/>
  <c r="AR65" i="15"/>
  <c r="AS40" i="15"/>
  <c r="AP16" i="15"/>
  <c r="AW16" i="15" s="1"/>
  <c r="AQ57" i="15"/>
  <c r="AQ39" i="15"/>
  <c r="AO67" i="15"/>
  <c r="AW67" i="15" s="1"/>
  <c r="AR69" i="15"/>
  <c r="AS47" i="15"/>
  <c r="AQ87" i="15"/>
  <c r="AX80" i="15"/>
  <c r="AX19" i="15"/>
  <c r="AS21" i="15"/>
  <c r="AQ91" i="15"/>
  <c r="AP84" i="15"/>
  <c r="AW84" i="15" s="1"/>
  <c r="AQ16" i="15"/>
  <c r="AS89" i="15"/>
  <c r="AX67" i="15"/>
  <c r="AS69" i="15"/>
  <c r="AO47" i="15"/>
  <c r="AP80" i="15"/>
  <c r="AP92" i="15"/>
  <c r="AS82" i="15"/>
  <c r="AS65" i="15"/>
  <c r="AT40" i="15"/>
  <c r="AO82" i="15"/>
  <c r="AW82" i="15" s="1"/>
  <c r="AR40" i="15"/>
  <c r="AP89" i="15"/>
  <c r="AW89" i="15" s="1"/>
  <c r="AT69" i="15"/>
  <c r="AP94" i="15"/>
  <c r="AQ26" i="15"/>
  <c r="AP35" i="15"/>
  <c r="AR60" i="15"/>
  <c r="AR58" i="15"/>
  <c r="AQ50" i="15"/>
  <c r="AS49" i="15"/>
  <c r="AT90" i="15"/>
  <c r="AQ88" i="15"/>
  <c r="AO28" i="15"/>
  <c r="AW28" i="15" s="1"/>
  <c r="AR50" i="15"/>
  <c r="AT91" i="15"/>
  <c r="AO30" i="15"/>
  <c r="AS37" i="15"/>
  <c r="AR94" i="15"/>
  <c r="AX60" i="15"/>
  <c r="AX24" i="15"/>
  <c r="AS28" i="15"/>
  <c r="AQ77" i="15"/>
  <c r="AT26" i="15"/>
  <c r="AR26" i="15"/>
  <c r="AS19" i="15"/>
  <c r="AT35" i="15"/>
  <c r="AR21" i="15"/>
  <c r="AS74" i="15"/>
  <c r="AS90" i="15"/>
  <c r="AO88" i="15"/>
  <c r="AO92" i="15"/>
  <c r="AS50" i="15"/>
  <c r="AR91" i="15"/>
  <c r="AR71" i="15"/>
  <c r="AP30" i="15"/>
  <c r="AR29" i="15"/>
  <c r="AT37" i="15"/>
  <c r="AS94" i="15"/>
  <c r="AO26" i="15"/>
  <c r="AP19" i="15"/>
  <c r="AT93" i="15"/>
  <c r="AT64" i="15"/>
  <c r="AR35" i="15"/>
  <c r="AT21" i="15"/>
  <c r="AR74" i="15"/>
  <c r="AQ90" i="15"/>
  <c r="AP88" i="15"/>
  <c r="AQ75" i="15"/>
  <c r="AR24" i="15"/>
  <c r="AS58" i="15"/>
  <c r="AS20" i="15"/>
  <c r="AX50" i="15"/>
  <c r="AP91" i="15"/>
  <c r="AX71" i="15"/>
  <c r="AP22" i="15"/>
  <c r="AW22" i="15" s="1"/>
  <c r="AO81" i="15"/>
  <c r="AR51" i="15"/>
  <c r="AT29" i="15"/>
  <c r="AQ37" i="15"/>
  <c r="AO94" i="15"/>
  <c r="AQ82" i="15"/>
  <c r="AP26" i="15"/>
  <c r="AO19" i="15"/>
  <c r="AO31" i="15"/>
  <c r="AW31" i="15" s="1"/>
  <c r="AS93" i="15"/>
  <c r="AR64" i="15"/>
  <c r="AO35" i="15"/>
  <c r="AQ21" i="15"/>
  <c r="AQ74" i="15"/>
  <c r="AQ56" i="15"/>
  <c r="AO66" i="15"/>
  <c r="AW66" i="15" s="1"/>
  <c r="AT60" i="15"/>
  <c r="AR57" i="15"/>
  <c r="AT24" i="15"/>
  <c r="AT58" i="15"/>
  <c r="AO50" i="15"/>
  <c r="AW50" i="15" s="1"/>
  <c r="AX91" i="15"/>
  <c r="AO71" i="15"/>
  <c r="AQ22" i="15"/>
  <c r="AS77" i="15"/>
  <c r="AT49" i="15"/>
  <c r="AS51" i="15"/>
  <c r="AX29" i="15"/>
  <c r="AX37" i="15"/>
  <c r="AO61" i="15"/>
  <c r="AW61" i="15" s="1"/>
  <c r="AR96" i="15"/>
  <c r="AT55" i="15"/>
  <c r="AP93" i="15"/>
  <c r="AW93" i="15" s="1"/>
  <c r="AX64" i="15"/>
  <c r="AQ35" i="15"/>
  <c r="AR32" i="15"/>
  <c r="AT70" i="15"/>
  <c r="AO60" i="15"/>
  <c r="AQ24" i="15"/>
  <c r="AX58" i="15"/>
  <c r="AS53" i="15"/>
  <c r="AO77" i="15"/>
  <c r="AQ49" i="15"/>
  <c r="AQ51" i="15"/>
  <c r="AR46" i="15"/>
  <c r="AT47" i="15"/>
  <c r="AS48" i="15"/>
  <c r="AR80" i="15"/>
  <c r="AR62" i="15"/>
  <c r="AT96" i="15"/>
  <c r="AS55" i="15"/>
  <c r="AP40" i="15"/>
  <c r="AW40" i="15" s="1"/>
  <c r="AX93" i="15"/>
  <c r="AS76" i="15"/>
  <c r="AS44" i="15"/>
  <c r="AT59" i="15"/>
  <c r="AR95" i="15"/>
  <c r="AP32" i="15"/>
  <c r="AQ70" i="15"/>
  <c r="AP60" i="15"/>
  <c r="AP24" i="15"/>
  <c r="AW24" i="15" s="1"/>
  <c r="AP58" i="15"/>
  <c r="AW58" i="15" s="1"/>
  <c r="AR83" i="15"/>
  <c r="AT53" i="15"/>
  <c r="AR18" i="15"/>
  <c r="AP77" i="15"/>
  <c r="AO49" i="15"/>
  <c r="AO51" i="15"/>
  <c r="AW51" i="15" s="1"/>
  <c r="AS46" i="15"/>
  <c r="AR47" i="15"/>
  <c r="AO48" i="15"/>
  <c r="AX87" i="15"/>
  <c r="AS96" i="15"/>
  <c r="AR55" i="15"/>
  <c r="AX35" i="15"/>
  <c r="AS60" i="15"/>
  <c r="AQ58" i="15"/>
  <c r="AR53" i="15"/>
  <c r="AR49" i="15"/>
  <c r="AO96" i="15"/>
  <c r="AW96" i="15" s="1"/>
  <c r="AX55" i="15"/>
  <c r="AO32" i="15"/>
  <c r="AO53" i="15"/>
  <c r="AW53" i="15" s="1"/>
  <c r="AP49" i="15"/>
  <c r="AQ96" i="15"/>
  <c r="AQ55" i="15"/>
  <c r="AQ32" i="15"/>
  <c r="AR92" i="15"/>
  <c r="AR28" i="15"/>
  <c r="AT12" i="15"/>
  <c r="AQ46" i="15"/>
  <c r="AX47" i="15"/>
  <c r="AP48" i="15"/>
  <c r="AX96" i="15"/>
  <c r="AX26" i="15"/>
  <c r="AO80" i="15"/>
  <c r="AO62" i="15"/>
  <c r="AO55" i="15"/>
  <c r="AQ76" i="15"/>
  <c r="AX44" i="15"/>
  <c r="AQ59" i="15"/>
  <c r="AS88" i="15"/>
  <c r="AS75" i="15"/>
  <c r="AT92" i="15"/>
  <c r="AT28" i="15"/>
  <c r="AQ83" i="15"/>
  <c r="AX53" i="15"/>
  <c r="AT81" i="15"/>
  <c r="AR30" i="15"/>
  <c r="AT86" i="15"/>
  <c r="AR12" i="15"/>
  <c r="AP46" i="15"/>
  <c r="AW46" i="15" s="1"/>
  <c r="AQ47" i="15"/>
  <c r="AT31" i="15"/>
  <c r="AX76" i="15"/>
  <c r="AP44" i="15"/>
  <c r="AO59" i="15"/>
  <c r="AW59" i="15" s="1"/>
  <c r="AP54" i="15"/>
  <c r="AW54" i="15" s="1"/>
  <c r="AR56" i="15"/>
  <c r="AR66" i="15"/>
  <c r="AT88" i="15"/>
  <c r="AT75" i="15"/>
  <c r="AT89" i="15"/>
  <c r="AS92" i="15"/>
  <c r="AQ28" i="15"/>
  <c r="AR22" i="15"/>
  <c r="AS81" i="15"/>
  <c r="AT30" i="15"/>
  <c r="AS86" i="15"/>
  <c r="AP12" i="15"/>
  <c r="AR61" i="15"/>
  <c r="AY75" i="15"/>
  <c r="AY76" i="15"/>
  <c r="AY73" i="15"/>
  <c r="AY87" i="15"/>
  <c r="AY65" i="15"/>
  <c r="AW94" i="15" l="1"/>
  <c r="AW92" i="15"/>
  <c r="AW88" i="15"/>
  <c r="AW29" i="15"/>
  <c r="AW77" i="15"/>
  <c r="AW81" i="15"/>
  <c r="AW48" i="15"/>
  <c r="AW35" i="15"/>
  <c r="AW80" i="15"/>
  <c r="AW19" i="15"/>
  <c r="AW91" i="15"/>
  <c r="AW21" i="15"/>
  <c r="AW57" i="15"/>
  <c r="AY55" i="15"/>
  <c r="AW55" i="15"/>
  <c r="AW62" i="15"/>
  <c r="AW26" i="15"/>
  <c r="AW60" i="15"/>
  <c r="AY30" i="15"/>
  <c r="AW30" i="15"/>
  <c r="AW44" i="15"/>
  <c r="AY32" i="15"/>
  <c r="AW32" i="15"/>
  <c r="AW49" i="15"/>
  <c r="AW71" i="15"/>
  <c r="AY47" i="15"/>
  <c r="AW47" i="15"/>
  <c r="AY31" i="15"/>
  <c r="AY71" i="15"/>
  <c r="I1" i="15"/>
  <c r="I1" i="15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tc={35BFFFCF-5923-481F-B52D-7DFF6F9D0CAF}</author>
    <author>tc={A9D8FA1D-E384-4C63-A2C4-A18108E5AC6A}</author>
    <author>tc={D2B45D92-A0D6-4E37-A0D7-CF74E0510234}</author>
    <author>tc={8AD36E2D-9790-4ABA-83B6-BF8AA32AAF7D}</author>
    <author>tc={2BAB7E69-748A-44EB-AEB1-C42D3E4F7D61}</author>
    <author>tc={45AC2A71-C0AD-40FD-8458-C590F546CE66}</author>
    <author>tc={A2710C31-C2C0-46D7-943F-87DE7B685D20}</author>
  </authors>
  <commentList>
    <comment ref="Q48" authorId="0" shapeId="0" xr:uid="{35BFFFCF-5923-481F-B52D-7DFF6F9D0CAF}">
      <text>
        <t>[Threaded comment]
Your version of Excel allows you to read this threaded comment; however, any edits to it will get removed if the file is opened in a newer version of Excel. Learn more: https://go.microsoft.com/fwlink/?linkid=870924
Comment:
    Bù 2 tiếng OT tháng trước</t>
      </text>
    </comment>
    <comment ref="O49" authorId="1" shapeId="0" xr:uid="{A9D8FA1D-E384-4C63-A2C4-A18108E5AC6A}">
      <text>
        <t>[Threaded comment]
Your version of Excel allows you to read this threaded comment; however, any edits to it will get removed if the file is opened in a newer version of Excel. Learn more: https://go.microsoft.com/fwlink/?linkid=870924
Comment:
    Bù 2 tiếng OT tháng trước</t>
      </text>
    </comment>
    <comment ref="J60" authorId="2" shapeId="0" xr:uid="{D2B45D92-A0D6-4E37-A0D7-CF74E0510234}">
      <text>
        <t>[Threaded comment]
Your version of Excel allows you to read this threaded comment; however, any edits to it will get removed if the file is opened in a newer version of Excel. Learn more: https://go.microsoft.com/fwlink/?linkid=870924
Comment:
    Bù ngày 17 tháng 5</t>
      </text>
    </comment>
    <comment ref="Q71" authorId="3" shapeId="0" xr:uid="{8AD36E2D-9790-4ABA-83B6-BF8AA32AAF7D}">
      <text>
        <t>[Threaded comment]
Your version of Excel allows you to read this threaded comment; however, any edits to it will get removed if the file is opened in a newer version of Excel. Learn more: https://go.microsoft.com/fwlink/?linkid=870924
Comment:
    Bù 6 tiếng OT tháng trước</t>
      </text>
    </comment>
    <comment ref="J82" authorId="4" shapeId="0" xr:uid="{2BAB7E69-748A-44EB-AEB1-C42D3E4F7D61}">
      <text>
        <t>[Threaded comment]
Your version of Excel allows you to read this threaded comment; however, any edits to it will get removed if the file is opened in a newer version of Excel. Learn more: https://go.microsoft.com/fwlink/?linkid=870924
Comment:
    Bù 4 tiếng tăng ca tháng trước</t>
      </text>
    </comment>
    <comment ref="H89" authorId="5" shapeId="0" xr:uid="{45AC2A71-C0AD-40FD-8458-C590F546CE66}">
      <text>
        <t>[Threaded comment]
Your version of Excel allows you to read this threaded comment; however, any edits to it will get removed if the file is opened in a newer version of Excel. Learn more: https://go.microsoft.com/fwlink/?linkid=870924
Comment:
    Bù 6 tiếng OT tháng trước</t>
      </text>
    </comment>
    <comment ref="H90" authorId="6" shapeId="0" xr:uid="{A2710C31-C2C0-46D7-943F-87DE7B685D20}">
      <text>
        <t>[Threaded comment]
Your version of Excel allows you to read this threaded comment; however, any edits to it will get removed if the file is opened in a newer version of Excel. Learn more: https://go.microsoft.com/fwlink/?linkid=870924
Comment:
    Bù 4 tiếng thiếu tháng trước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Tam Ha</author>
  </authors>
  <commentList>
    <comment ref="D99" authorId="0" shapeId="0" xr:uid="{C0CF3A0A-9AA3-4863-937F-01F88B9224F8}">
      <text>
        <r>
          <rPr>
            <b/>
            <sz val="9"/>
            <color indexed="81"/>
            <rFont val="Tahoma"/>
          </rPr>
          <t>Tam Ha:</t>
        </r>
        <r>
          <rPr>
            <sz val="9"/>
            <color indexed="81"/>
            <rFont val="Tahoma"/>
          </rPr>
          <t xml:space="preserve">
nghỉ tháng trước, mới quay lại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Tam Ha</author>
    <author>bbukxn3</author>
  </authors>
  <commentList>
    <comment ref="BA9" authorId="0" shapeId="0" xr:uid="{AF83B391-9F4B-4894-85AC-ED6A75F06BEB}">
      <text>
        <r>
          <rPr>
            <b/>
            <sz val="9"/>
            <color indexed="81"/>
            <rFont val="Tahoma"/>
          </rPr>
          <t>Tam Ha:</t>
        </r>
        <r>
          <rPr>
            <sz val="9"/>
            <color indexed="81"/>
            <rFont val="Tahoma"/>
          </rPr>
          <t xml:space="preserve">
Temporary allowance for supporting Production in Aug, Sep only</t>
        </r>
      </text>
    </comment>
    <comment ref="BA12" authorId="0" shapeId="0" xr:uid="{74252FD7-6437-42AC-8147-18CDEEDE0D05}">
      <text>
        <r>
          <rPr>
            <b/>
            <sz val="9"/>
            <color indexed="81"/>
            <rFont val="Tahoma"/>
          </rPr>
          <t>Tam Ha:</t>
        </r>
        <r>
          <rPr>
            <sz val="9"/>
            <color indexed="81"/>
            <rFont val="Tahoma"/>
          </rPr>
          <t xml:space="preserve">
Temporary allowance for supporting Production in Aug, Sep only</t>
        </r>
      </text>
    </comment>
    <comment ref="BA69" authorId="0" shapeId="0" xr:uid="{94F1CD56-CDFA-43CC-A810-62B0562E0AD5}">
      <text>
        <r>
          <rPr>
            <b/>
            <sz val="9"/>
            <color indexed="81"/>
            <rFont val="Tahoma"/>
          </rPr>
          <t>Tam Ha:</t>
        </r>
        <r>
          <rPr>
            <sz val="9"/>
            <color indexed="81"/>
            <rFont val="Tahoma"/>
          </rPr>
          <t xml:space="preserve">
Temporary allowance for supporting Production, in Aug and Sep only
</t>
        </r>
      </text>
    </comment>
    <comment ref="BA70" authorId="1" shapeId="0" xr:uid="{779A93B1-8FE8-495E-884C-C4F245247341}">
      <text>
        <r>
          <rPr>
            <b/>
            <sz val="9"/>
            <color indexed="81"/>
            <rFont val="Tahoma"/>
            <charset val="1"/>
          </rPr>
          <t>bbukxn3:</t>
        </r>
        <r>
          <rPr>
            <sz val="9"/>
            <color indexed="81"/>
            <rFont val="Tahoma"/>
            <charset val="1"/>
          </rPr>
          <t xml:space="preserve">
Temporary allowance for supporting CS, from Aug 1st to Oct 31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<sst xmlns="http://schemas.openxmlformats.org/spreadsheetml/2006/main" count="5373" uniqueCount="634">
  <si>
    <r>
      <t xml:space="preserve">Employee ID / </t>
    </r>
    <r>
      <rPr>
        <b/>
        <i/>
        <sz val="8"/>
        <rFont val="Arial"/>
        <family val="2"/>
      </rPr>
      <t>Mã nhân viên</t>
    </r>
  </si>
  <si>
    <t>Wed</t>
  </si>
  <si>
    <t>Thu</t>
  </si>
  <si>
    <t>Fri</t>
  </si>
  <si>
    <t>Sat</t>
  </si>
  <si>
    <t>Sun</t>
  </si>
  <si>
    <t>Mon</t>
  </si>
  <si>
    <t>Tue</t>
  </si>
  <si>
    <t>T4</t>
  </si>
  <si>
    <t>T5</t>
  </si>
  <si>
    <t>T6</t>
  </si>
  <si>
    <t>T7</t>
  </si>
  <si>
    <t>CN</t>
  </si>
  <si>
    <t>T2</t>
  </si>
  <si>
    <t>T3</t>
  </si>
  <si>
    <t>Finance &amp; Accounting Manager</t>
  </si>
  <si>
    <t>1013789</t>
  </si>
  <si>
    <t>Hồ Mỹ Phương</t>
  </si>
  <si>
    <t>W</t>
  </si>
  <si>
    <t>Production Supervisor</t>
  </si>
  <si>
    <t>1014016</t>
  </si>
  <si>
    <t>Nguyễn Cang</t>
  </si>
  <si>
    <t>EHS Engineer</t>
  </si>
  <si>
    <t>1014096</t>
  </si>
  <si>
    <t>Lê Thành Hưng</t>
  </si>
  <si>
    <t>09/06/2025</t>
  </si>
  <si>
    <t>Employees under Bau Bang factory's payroll</t>
  </si>
  <si>
    <t>Tô Văn Thiện</t>
  </si>
  <si>
    <t>Sales Manager for S.E.A.</t>
  </si>
  <si>
    <t>1/7/2025</t>
  </si>
  <si>
    <t>Mechanical Maintenance Specialist</t>
  </si>
  <si>
    <t>Electrical Maintenance Specialist</t>
  </si>
  <si>
    <t>14/7/2025</t>
  </si>
  <si>
    <t>Phan Thị Hải Âu</t>
  </si>
  <si>
    <t>Accountant</t>
  </si>
  <si>
    <t>21/7/2025</t>
  </si>
  <si>
    <t>Nguyễn Đăng Khoa</t>
  </si>
  <si>
    <t>Logistic Supervisor</t>
  </si>
  <si>
    <t>Trịnh Đình Tâm</t>
  </si>
  <si>
    <t>Phạm Thanh Hiệp</t>
  </si>
  <si>
    <t>Nguyễn Bảo Xuân Khôi</t>
  </si>
  <si>
    <t>Dương Hồ Nhã Vi</t>
  </si>
  <si>
    <t>Phạm Hoàng Dinh</t>
  </si>
  <si>
    <t>Riveting Forklift Driver</t>
  </si>
  <si>
    <t>Customer Service Representative</t>
  </si>
  <si>
    <t>HR &amp; Admin Manager</t>
  </si>
  <si>
    <t>Quality Team Leader</t>
  </si>
  <si>
    <t>Riveting Team leader</t>
  </si>
  <si>
    <t>Riveting Line Operator</t>
  </si>
  <si>
    <t>Painting Line Operator</t>
  </si>
  <si>
    <t>Warehouse Forklift Driver</t>
  </si>
  <si>
    <t>4/8/2025</t>
  </si>
  <si>
    <t>11/8/2025</t>
  </si>
  <si>
    <t>12/8/2025</t>
  </si>
  <si>
    <t>18/8/2025</t>
  </si>
  <si>
    <t>LEP001</t>
  </si>
  <si>
    <t>LEP003</t>
  </si>
  <si>
    <t>LEP004</t>
  </si>
  <si>
    <t>LEP005</t>
  </si>
  <si>
    <t>LEP007</t>
  </si>
  <si>
    <t>LEP009</t>
  </si>
  <si>
    <t>LEP010</t>
  </si>
  <si>
    <t>LEP011</t>
  </si>
  <si>
    <t>LEP012</t>
  </si>
  <si>
    <t>LEP013</t>
  </si>
  <si>
    <t>LEP014</t>
  </si>
  <si>
    <t>LEP018</t>
  </si>
  <si>
    <t>LEP022</t>
  </si>
  <si>
    <t>Quality Supervisor</t>
  </si>
  <si>
    <t>LEP023</t>
  </si>
  <si>
    <t>Thạch Bạch Tra</t>
  </si>
  <si>
    <t>LEP026</t>
  </si>
  <si>
    <t>Sử Hữu Trí</t>
  </si>
  <si>
    <t>Finance</t>
  </si>
  <si>
    <t>Production</t>
  </si>
  <si>
    <t>EHS</t>
  </si>
  <si>
    <t>Sales</t>
  </si>
  <si>
    <t>QC</t>
  </si>
  <si>
    <t>Logistics</t>
  </si>
  <si>
    <t>HR</t>
  </si>
  <si>
    <t>LEP027</t>
  </si>
  <si>
    <t>LEP028</t>
  </si>
  <si>
    <t>AL: Nghỉ phép năm</t>
  </si>
  <si>
    <t>Phạm Thị Ánh Hồng</t>
  </si>
  <si>
    <t>20/8/2025</t>
  </si>
  <si>
    <t>LEP029</t>
  </si>
  <si>
    <t>Mã Hén Chiêu</t>
  </si>
  <si>
    <t>Nguyễn Phương Nam</t>
  </si>
  <si>
    <t>Dương Tấn Thanh</t>
  </si>
  <si>
    <t>LEP031</t>
  </si>
  <si>
    <t>LEP036</t>
  </si>
  <si>
    <t>LEP040</t>
  </si>
  <si>
    <t>21/8/2025</t>
  </si>
  <si>
    <t>QC Inspector</t>
  </si>
  <si>
    <t>25/8/2025</t>
  </si>
  <si>
    <t>WH</t>
  </si>
  <si>
    <t>WH Staff</t>
  </si>
  <si>
    <t>WH Forklift Driver</t>
  </si>
  <si>
    <t>29/8/2025</t>
  </si>
  <si>
    <r>
      <t xml:space="preserve">Start Date
</t>
    </r>
    <r>
      <rPr>
        <i/>
        <sz val="8"/>
        <rFont val="Arial"/>
        <family val="2"/>
      </rPr>
      <t>Ngày bắt đầu làm việc</t>
    </r>
  </si>
  <si>
    <r>
      <t xml:space="preserve">Position/ </t>
    </r>
    <r>
      <rPr>
        <i/>
        <sz val="8"/>
        <rFont val="Arial"/>
        <family val="2"/>
      </rPr>
      <t>Chức vụ</t>
    </r>
  </si>
  <si>
    <r>
      <t xml:space="preserve">Dept/ </t>
    </r>
    <r>
      <rPr>
        <i/>
        <sz val="8"/>
        <rFont val="Arial"/>
        <family val="2"/>
      </rPr>
      <t>Bộ phận</t>
    </r>
  </si>
  <si>
    <r>
      <t xml:space="preserve">Name / </t>
    </r>
    <r>
      <rPr>
        <i/>
        <sz val="8"/>
        <rFont val="Arial"/>
        <family val="2"/>
      </rPr>
      <t>Tên nhân viên</t>
    </r>
  </si>
  <si>
    <r>
      <t xml:space="preserve">Employee ID / </t>
    </r>
    <r>
      <rPr>
        <i/>
        <sz val="8"/>
        <rFont val="Arial"/>
        <family val="2"/>
      </rPr>
      <t>Mã nhân viên</t>
    </r>
  </si>
  <si>
    <r>
      <t xml:space="preserve">No./ 
</t>
    </r>
    <r>
      <rPr>
        <i/>
        <sz val="8"/>
        <rFont val="Arial"/>
        <family val="2"/>
      </rPr>
      <t>STT</t>
    </r>
  </si>
  <si>
    <t>WH Operator</t>
  </si>
  <si>
    <t>Hà Văn Sáng</t>
  </si>
  <si>
    <t>LEP044</t>
  </si>
  <si>
    <t>LEP045</t>
  </si>
  <si>
    <r>
      <t xml:space="preserve">Total UL/ </t>
    </r>
    <r>
      <rPr>
        <b/>
        <i/>
        <sz val="8"/>
        <rFont val="Arial"/>
        <family val="2"/>
      </rPr>
      <t>Tồng số ngày nghỉ không lương</t>
    </r>
  </si>
  <si>
    <t>Dương Văn Thành</t>
  </si>
  <si>
    <t>Lâm Văn Gấm</t>
  </si>
  <si>
    <t>Branch IT Administrator</t>
  </si>
  <si>
    <t>15/09/2025</t>
  </si>
  <si>
    <t>16/09/2025</t>
  </si>
  <si>
    <t>17/09/2025</t>
  </si>
  <si>
    <t>Total Standard WD/ Tổng số ngày công chuẩn trong tháng</t>
  </si>
  <si>
    <r>
      <t xml:space="preserve">Total WD / </t>
    </r>
    <r>
      <rPr>
        <b/>
        <i/>
        <sz val="8"/>
        <rFont val="Arial"/>
        <family val="2"/>
      </rPr>
      <t>Tồng số ngày làm việc thực tế</t>
    </r>
  </si>
  <si>
    <t>Nguyễn Vũ Nguyệt Anh</t>
  </si>
  <si>
    <r>
      <t>Performance Bonus/</t>
    </r>
    <r>
      <rPr>
        <b/>
        <i/>
        <sz val="8"/>
        <rFont val="Arial"/>
        <family val="2"/>
      </rPr>
      <t>Tiền thưởng năng suất</t>
    </r>
  </si>
  <si>
    <r>
      <t xml:space="preserve">Month/
</t>
    </r>
    <r>
      <rPr>
        <b/>
        <i/>
        <sz val="8"/>
        <rFont val="Arial"/>
        <family val="2"/>
      </rPr>
      <t>Tháng</t>
    </r>
  </si>
  <si>
    <r>
      <t xml:space="preserve">Year/
</t>
    </r>
    <r>
      <rPr>
        <b/>
        <i/>
        <sz val="8"/>
        <rFont val="Arial"/>
        <family val="2"/>
      </rPr>
      <t>Năm</t>
    </r>
  </si>
  <si>
    <r>
      <t xml:space="preserve">Remarks/
</t>
    </r>
    <r>
      <rPr>
        <b/>
        <i/>
        <sz val="8"/>
        <rFont val="Arial"/>
        <family val="2"/>
      </rPr>
      <t>Ghi chú</t>
    </r>
  </si>
  <si>
    <t>26/8/2025</t>
  </si>
  <si>
    <r>
      <t xml:space="preserve">Hazardous Allowance/ </t>
    </r>
    <r>
      <rPr>
        <i/>
        <sz val="8"/>
        <rFont val="Arial"/>
        <family val="2"/>
      </rPr>
      <t>Tiền độc hại</t>
    </r>
  </si>
  <si>
    <t>Phan Phước Tài</t>
  </si>
  <si>
    <t>Ngô Viết Đức</t>
  </si>
  <si>
    <t>Nguyễn Văn Hiền</t>
  </si>
  <si>
    <t>Nguyễn Nam Bình</t>
  </si>
  <si>
    <t>Cao Ngọc Linh</t>
  </si>
  <si>
    <t>Đỗ Thế Tài</t>
  </si>
  <si>
    <t>Lâm Thanh Hiếu</t>
  </si>
  <si>
    <t>Nguyễn Văn Tình</t>
  </si>
  <si>
    <t>Dương Trung Toàn</t>
  </si>
  <si>
    <t>H Nguel Kbuor</t>
  </si>
  <si>
    <t>Y in Zơ Kbuor</t>
  </si>
  <si>
    <t>Siu Nhoát</t>
  </si>
  <si>
    <t>Painting Line Teamleader</t>
  </si>
  <si>
    <t>Environmental Protection Equipment</t>
  </si>
  <si>
    <t>25/09/2025</t>
  </si>
  <si>
    <t>26/09/2025</t>
  </si>
  <si>
    <t>30/09/2025</t>
  </si>
  <si>
    <t>01/10/2025</t>
  </si>
  <si>
    <t>02/10/2025</t>
  </si>
  <si>
    <t>04/10/2025</t>
  </si>
  <si>
    <t>07/10/2025</t>
  </si>
  <si>
    <t>Maintenance (PRO)</t>
  </si>
  <si>
    <t>LEP048</t>
  </si>
  <si>
    <t>LEP049</t>
  </si>
  <si>
    <t>LEP051</t>
  </si>
  <si>
    <t>LEP052</t>
  </si>
  <si>
    <t>LEP054</t>
  </si>
  <si>
    <t>LEP056</t>
  </si>
  <si>
    <t>LEP057</t>
  </si>
  <si>
    <t>LEP061</t>
  </si>
  <si>
    <t>LEP062</t>
  </si>
  <si>
    <t>LEP067</t>
  </si>
  <si>
    <t>LEP068</t>
  </si>
  <si>
    <t>LEP069</t>
  </si>
  <si>
    <t>Huỳnh Hoài Thương</t>
  </si>
  <si>
    <r>
      <t xml:space="preserve">Weekly Overtime/ </t>
    </r>
    <r>
      <rPr>
        <i/>
        <sz val="8"/>
        <rFont val="Arial"/>
        <family val="2"/>
      </rPr>
      <t>Tăng ca ngày nghỉ hàng tuần</t>
    </r>
  </si>
  <si>
    <r>
      <t xml:space="preserve">Normal Overtime/ </t>
    </r>
    <r>
      <rPr>
        <i/>
        <sz val="8"/>
        <rFont val="Arial"/>
        <family val="2"/>
      </rPr>
      <t>Tăng ca ban ngày ngày thường</t>
    </r>
  </si>
  <si>
    <r>
      <t xml:space="preserve">Night OT / </t>
    </r>
    <r>
      <rPr>
        <sz val="8"/>
        <rFont val="Arial"/>
        <family val="2"/>
      </rPr>
      <t>Tăng ca đêm ngày thường</t>
    </r>
  </si>
  <si>
    <r>
      <t xml:space="preserve">Night weekly Overtime/ </t>
    </r>
    <r>
      <rPr>
        <i/>
        <sz val="8"/>
        <rFont val="Arial"/>
        <family val="2"/>
      </rPr>
      <t>Tăng ca đêm ngày nghỉ hàng tuần</t>
    </r>
  </si>
  <si>
    <r>
      <t xml:space="preserve">Total AL / </t>
    </r>
    <r>
      <rPr>
        <b/>
        <i/>
        <sz val="8"/>
        <rFont val="Arial"/>
        <family val="2"/>
      </rPr>
      <t>Tồng số ngày nghỉ phép năm</t>
    </r>
  </si>
  <si>
    <t>Y Sion Kbuor</t>
  </si>
  <si>
    <t>Nguyễn Văn Quốc</t>
  </si>
  <si>
    <t>Trần Văn Trọn</t>
  </si>
  <si>
    <t>Nguyễn Văn Hậu</t>
  </si>
  <si>
    <t>Phạm Hùng Cường</t>
  </si>
  <si>
    <t>13/10/2025</t>
  </si>
  <si>
    <t>15/10/2025</t>
  </si>
  <si>
    <t>16/10/2025</t>
  </si>
  <si>
    <t>17/10/2025</t>
  </si>
  <si>
    <t>LEP073</t>
  </si>
  <si>
    <t>LEP074</t>
  </si>
  <si>
    <t>LEP075</t>
  </si>
  <si>
    <t>LEP078</t>
  </si>
  <si>
    <t>LEP080</t>
  </si>
  <si>
    <r>
      <t xml:space="preserve">Total SL/ </t>
    </r>
    <r>
      <rPr>
        <b/>
        <i/>
        <sz val="8"/>
        <rFont val="Arial"/>
        <family val="2"/>
      </rPr>
      <t>Tồng số ngày nghỉ ốm</t>
    </r>
  </si>
  <si>
    <t>Early leaving going late / Đi trễ về sớm</t>
  </si>
  <si>
    <t>Trần Văn Lựa</t>
  </si>
  <si>
    <t>22/10/2025</t>
  </si>
  <si>
    <t>Nguyễn Quang Linh</t>
  </si>
  <si>
    <t>LEP091</t>
  </si>
  <si>
    <t>LEP104</t>
  </si>
  <si>
    <r>
      <t xml:space="preserve">Total PL/ </t>
    </r>
    <r>
      <rPr>
        <b/>
        <i/>
        <sz val="8"/>
        <rFont val="Arial"/>
        <family val="2"/>
      </rPr>
      <t>Nghỉ hưởng lương theo luật như cha mẹ mất, kết hôn</t>
    </r>
  </si>
  <si>
    <t>29/10/2025</t>
  </si>
  <si>
    <t>LEP108</t>
  </si>
  <si>
    <t>Nguyễn Văn Thương</t>
  </si>
  <si>
    <t>04/11/2025</t>
  </si>
  <si>
    <t>Nguyễn Hữu Đức</t>
  </si>
  <si>
    <t>LEP109</t>
  </si>
  <si>
    <t>07/11/2025</t>
  </si>
  <si>
    <t>Đỗ Hoài Thương</t>
  </si>
  <si>
    <t>Phan Thị Kim Anh</t>
  </si>
  <si>
    <t>Nguyễn Văn Út</t>
  </si>
  <si>
    <t>Production Operator</t>
  </si>
  <si>
    <t>17/11/2025</t>
  </si>
  <si>
    <t>18/11/2025</t>
  </si>
  <si>
    <t>LEP111</t>
  </si>
  <si>
    <t>LEP113</t>
  </si>
  <si>
    <t>LEP114</t>
  </si>
  <si>
    <t>28/04/2025</t>
  </si>
  <si>
    <t>LEP125</t>
  </si>
  <si>
    <t>Nguyễn Văn Vương</t>
  </si>
  <si>
    <t>LEP127</t>
  </si>
  <si>
    <t>Lý Văn Minh Tâm</t>
  </si>
  <si>
    <t>25/11/2025</t>
  </si>
  <si>
    <t>LEP129</t>
  </si>
  <si>
    <t>LEP131</t>
  </si>
  <si>
    <t>LEP132</t>
  </si>
  <si>
    <t>LEP134</t>
  </si>
  <si>
    <t>Bùi Văn Sang</t>
  </si>
  <si>
    <t>Đỗ Thị Kim Liên</t>
  </si>
  <si>
    <t>Nguyễn Thị Hương</t>
  </si>
  <si>
    <t>Nguyễn Thị Cẩm Hằng</t>
  </si>
  <si>
    <t>22/11/2025</t>
  </si>
  <si>
    <r>
      <t xml:space="preserve">Số ngày làm việc ban đêm / </t>
    </r>
    <r>
      <rPr>
        <b/>
        <i/>
        <sz val="8"/>
        <rFont val="Arial"/>
        <family val="2"/>
      </rPr>
      <t>Số ngày làm việc ban đêm</t>
    </r>
  </si>
  <si>
    <t>N: Làm việc ca đêm</t>
  </si>
  <si>
    <t>LEP145</t>
  </si>
  <si>
    <t>LEP146</t>
  </si>
  <si>
    <t>Trương Thị Ngân</t>
  </si>
  <si>
    <t>Nguyễn Thị Diệu Minh</t>
  </si>
  <si>
    <t>16/12/2025</t>
  </si>
  <si>
    <t>26/05/2025</t>
  </si>
  <si>
    <r>
      <t xml:space="preserve">Other fees / </t>
    </r>
    <r>
      <rPr>
        <i/>
        <sz val="8"/>
        <rFont val="Arial"/>
        <family val="2"/>
      </rPr>
      <t>Các chi phí khác trong tháng</t>
    </r>
  </si>
  <si>
    <r>
      <t xml:space="preserve">Trade Union fee / </t>
    </r>
    <r>
      <rPr>
        <i/>
        <sz val="8"/>
        <rFont val="Arial"/>
        <family val="2"/>
      </rPr>
      <t>Trừ tiền đoàn phí</t>
    </r>
  </si>
  <si>
    <t>LEP149</t>
  </si>
  <si>
    <t>Hà Ngọc Lưu</t>
  </si>
  <si>
    <t>Warehouse Team Leader</t>
  </si>
  <si>
    <t>09/01/2026</t>
  </si>
  <si>
    <r>
      <t xml:space="preserve">Firefighting Allowance / </t>
    </r>
    <r>
      <rPr>
        <i/>
        <sz val="8"/>
        <rFont val="Arial"/>
        <family val="2"/>
      </rPr>
      <t>Tiền trợ cấp PCCC</t>
    </r>
  </si>
  <si>
    <t>RESIGNED</t>
  </si>
  <si>
    <t>LEP152</t>
  </si>
  <si>
    <t>Hoàng Trọng Hiếu</t>
  </si>
  <si>
    <t>27/01/2026</t>
  </si>
  <si>
    <t>Nguyễn Thị Lệ Trang</t>
  </si>
  <si>
    <t>Nguyễn Minh Như</t>
  </si>
  <si>
    <t>Danh Thị Tiếc Thương</t>
  </si>
  <si>
    <t>Nguyễn Tiến Đạt</t>
  </si>
  <si>
    <t>Bách Văn Tiến</t>
  </si>
  <si>
    <t>Trần Văn Trí</t>
  </si>
  <si>
    <t>Nguyễn Gia Hào</t>
  </si>
  <si>
    <t>Phạm Lí Hùng</t>
  </si>
  <si>
    <t>24/02/2026</t>
  </si>
  <si>
    <t>25/02/2026</t>
  </si>
  <si>
    <t>26/02/2026</t>
  </si>
  <si>
    <t>28/02/2026</t>
  </si>
  <si>
    <t>02/03/2026</t>
  </si>
  <si>
    <t>03/03/2026</t>
  </si>
  <si>
    <t>LEP156</t>
  </si>
  <si>
    <t>LEP157A</t>
  </si>
  <si>
    <t>LEP158A</t>
  </si>
  <si>
    <t>LEP158</t>
  </si>
  <si>
    <t>LEP163</t>
  </si>
  <si>
    <t>LEP165</t>
  </si>
  <si>
    <t>LEP169</t>
  </si>
  <si>
    <t>LEP170</t>
  </si>
  <si>
    <t>LEP179</t>
  </si>
  <si>
    <t>LEP180</t>
  </si>
  <si>
    <t>Phạm Quang Vinh</t>
  </si>
  <si>
    <t>Nguyễn Thị Thu Ngân</t>
  </si>
  <si>
    <t>Phạm Văn Giang</t>
  </si>
  <si>
    <t>05/03/2026</t>
  </si>
  <si>
    <t>06/03/2026</t>
  </si>
  <si>
    <t>LEP165A</t>
  </si>
  <si>
    <t>LEP181</t>
  </si>
  <si>
    <t>Nguyễn Thanh Hải</t>
  </si>
  <si>
    <t>10/03/2026</t>
  </si>
  <si>
    <t>LEP164A</t>
  </si>
  <si>
    <t>Nguyễn Thị Ngọc Vui</t>
  </si>
  <si>
    <t>LEP181A</t>
  </si>
  <si>
    <t>LEP181B</t>
  </si>
  <si>
    <t>LEP181C</t>
  </si>
  <si>
    <t>LEP181D</t>
  </si>
  <si>
    <t>LEP181F</t>
  </si>
  <si>
    <t>Nguyễn Văn Tài</t>
  </si>
  <si>
    <t>Cao Yến Đa</t>
  </si>
  <si>
    <t>Phan Thị Kim Triệu</t>
  </si>
  <si>
    <t>Nguyễn Diệu Hân</t>
  </si>
  <si>
    <t>11/03/2026</t>
  </si>
  <si>
    <t>Mã Tứ Hiếu</t>
  </si>
  <si>
    <t>Lê Tiểu My</t>
  </si>
  <si>
    <r>
      <t xml:space="preserve">Performance Bonus Allowance/
</t>
    </r>
    <r>
      <rPr>
        <b/>
        <i/>
        <sz val="8"/>
        <rFont val="Arial"/>
        <family val="2"/>
      </rPr>
      <t>Tiền chuyên cần</t>
    </r>
  </si>
  <si>
    <t>Lý Thị Thúy Kiều</t>
  </si>
  <si>
    <t>Võ Thị Minh Trang</t>
  </si>
  <si>
    <t>Bùi Tiến Phước</t>
  </si>
  <si>
    <t>Lê Minh Lực</t>
  </si>
  <si>
    <t>Trương Mỹ Nhân</t>
  </si>
  <si>
    <t>Cao Thị Oanh</t>
  </si>
  <si>
    <t>25/03/2026</t>
  </si>
  <si>
    <t>21/03/2026</t>
  </si>
  <si>
    <t>LEP186</t>
  </si>
  <si>
    <t>LEP189</t>
  </si>
  <si>
    <t>LEP190</t>
  </si>
  <si>
    <t>LEP191</t>
  </si>
  <si>
    <t>02/04/2026</t>
  </si>
  <si>
    <t>LEP186A</t>
  </si>
  <si>
    <t>LEP186B</t>
  </si>
  <si>
    <t>Nguyễn  Bá Trinh</t>
  </si>
  <si>
    <t>LEP193</t>
  </si>
  <si>
    <t>Lê Hoàng Minh Hùng</t>
  </si>
  <si>
    <t>06/04/2026</t>
  </si>
  <si>
    <t>LEP194</t>
  </si>
  <si>
    <t>Nguyễn Thành Công</t>
  </si>
  <si>
    <t>LEP195</t>
  </si>
  <si>
    <t>Đặng Văn Lành</t>
  </si>
  <si>
    <t>09/04/2026</t>
  </si>
  <si>
    <t>LEP195A</t>
  </si>
  <si>
    <t>Tôn Thất Tuấn</t>
  </si>
  <si>
    <t>LEP195B</t>
  </si>
  <si>
    <t xml:space="preserve">Đường Thị Xuyến </t>
  </si>
  <si>
    <t>LEP194A</t>
  </si>
  <si>
    <t>Y Việt Long Ding</t>
  </si>
  <si>
    <t>08/04/2026</t>
  </si>
  <si>
    <t>LEP198</t>
  </si>
  <si>
    <t>Mai Thị Kim Xuyến</t>
  </si>
  <si>
    <t>Master Planner</t>
  </si>
  <si>
    <t>20/04/2026</t>
  </si>
  <si>
    <t>UL: Nghỉ không lương</t>
  </si>
  <si>
    <r>
      <t xml:space="preserve">Total PH/ </t>
    </r>
    <r>
      <rPr>
        <b/>
        <i/>
        <sz val="8"/>
        <rFont val="Arial"/>
        <family val="2"/>
      </rPr>
      <t>Tồng số ngày nghỉ lễ</t>
    </r>
  </si>
  <si>
    <t>LEP202</t>
  </si>
  <si>
    <t>Nguyễn Huỳnh Trâm</t>
  </si>
  <si>
    <t>Import-Export Specialist</t>
  </si>
  <si>
    <t>06/05/2026</t>
  </si>
  <si>
    <t>LEP203</t>
  </si>
  <si>
    <t>Danh Minh Trí</t>
  </si>
  <si>
    <t>16/05/2026</t>
  </si>
  <si>
    <t>LEP204A</t>
  </si>
  <si>
    <t>Y Tri</t>
  </si>
  <si>
    <t>LEP204B</t>
  </si>
  <si>
    <t>Phan Văn Phú</t>
  </si>
  <si>
    <t>18/05/2026</t>
  </si>
  <si>
    <t>Y' Lưới Hđơk</t>
  </si>
  <si>
    <t>Y Duân Nie</t>
  </si>
  <si>
    <t>Lê Ngọc Quyết</t>
  </si>
  <si>
    <t>Hoàng Văn Khánh</t>
  </si>
  <si>
    <t>Đào Thanh Phước</t>
  </si>
  <si>
    <t>Lưu Văn Huy</t>
  </si>
  <si>
    <t>Nguyễn Trường An</t>
  </si>
  <si>
    <t>Ngô Hoàng Quốc Trung</t>
  </si>
  <si>
    <t>Nguyễn Thanh Thiết</t>
  </si>
  <si>
    <t>Trần Thị Ngọc Hương</t>
  </si>
  <si>
    <t>Nguyễn Bé Diên</t>
  </si>
  <si>
    <t>Hồ Hải Nhân</t>
  </si>
  <si>
    <t>Nguyễn Hải Hưng</t>
  </si>
  <si>
    <t>22/05/2026</t>
  </si>
  <si>
    <t>23/05/2026</t>
  </si>
  <si>
    <t>26/05/2026</t>
  </si>
  <si>
    <t>27/05/2026</t>
  </si>
  <si>
    <t>28/05/2026</t>
  </si>
  <si>
    <t>29/05/2026</t>
  </si>
  <si>
    <t>21/05/2026</t>
  </si>
  <si>
    <t>LEP204C</t>
  </si>
  <si>
    <t>LEP205</t>
  </si>
  <si>
    <t>LEP206</t>
  </si>
  <si>
    <t>LEP207</t>
  </si>
  <si>
    <t>LEP208</t>
  </si>
  <si>
    <t>LEP209</t>
  </si>
  <si>
    <t>LEP210</t>
  </si>
  <si>
    <t>LEP211</t>
  </si>
  <si>
    <t>LEP211A</t>
  </si>
  <si>
    <t>LEP211B</t>
  </si>
  <si>
    <t>LEP212</t>
  </si>
  <si>
    <t>LEP213</t>
  </si>
  <si>
    <t>LEP214</t>
  </si>
  <si>
    <t>LEP215</t>
  </si>
  <si>
    <t>LEP215A</t>
  </si>
  <si>
    <t>LEP215B</t>
  </si>
  <si>
    <t>LEP216</t>
  </si>
  <si>
    <t>LEP217</t>
  </si>
  <si>
    <t>Nguyễn Văn Công</t>
  </si>
  <si>
    <t>01/06/2026</t>
  </si>
  <si>
    <r>
      <t xml:space="preserve">BẢNG TĂNG CA THÁNG 06/ </t>
    </r>
    <r>
      <rPr>
        <i/>
        <sz val="20"/>
        <color theme="1"/>
        <rFont val="Aptos Narrow"/>
        <family val="2"/>
        <scheme val="minor"/>
      </rPr>
      <t>OVERTIME TABLE JUNE</t>
    </r>
  </si>
  <si>
    <t>MATERNITY LEAVE</t>
  </si>
  <si>
    <t>AL</t>
  </si>
  <si>
    <t>Trần Hoàng Sang</t>
  </si>
  <si>
    <t>Nguyễn Thanh Tâm</t>
  </si>
  <si>
    <t>Nguyễn Huỳnh Sang</t>
  </si>
  <si>
    <t>Trần Tự Hào</t>
  </si>
  <si>
    <t>02/06/2026</t>
  </si>
  <si>
    <t>LEP217A</t>
  </si>
  <si>
    <t>LEP217B</t>
  </si>
  <si>
    <t>LEP218</t>
  </si>
  <si>
    <t>LEP218A</t>
  </si>
  <si>
    <t>Bùi Duy Tấn</t>
  </si>
  <si>
    <t>LEP219</t>
  </si>
  <si>
    <t>LEP220</t>
  </si>
  <si>
    <t>03/06/2026</t>
  </si>
  <si>
    <t>05/06/2026</t>
  </si>
  <si>
    <t>LEP221</t>
  </si>
  <si>
    <t>Phan Đình Kiên</t>
  </si>
  <si>
    <t>Painting Team Leader</t>
  </si>
  <si>
    <t>09/06/2026</t>
  </si>
  <si>
    <t>Nguyễn Văn Cường</t>
  </si>
  <si>
    <t>Đỗ Văn Noa</t>
  </si>
  <si>
    <t>17/06/2026</t>
  </si>
  <si>
    <t>LEP222</t>
  </si>
  <si>
    <t>LEP223</t>
  </si>
  <si>
    <t>LEP217C</t>
  </si>
  <si>
    <t>Phan Thị Ngọc Ánh</t>
  </si>
  <si>
    <t>Nguyễn Văn Bình</t>
  </si>
  <si>
    <t>Nguyễn Huy Hoàng</t>
  </si>
  <si>
    <t>Châu Quốc Bình</t>
  </si>
  <si>
    <t>LEP225</t>
  </si>
  <si>
    <t>LEP226</t>
  </si>
  <si>
    <t>LEP227</t>
  </si>
  <si>
    <t>22/06/2026</t>
  </si>
  <si>
    <t>23/06/2026</t>
  </si>
  <si>
    <t>LEP228</t>
  </si>
  <si>
    <t>Phạm Văn Toàn</t>
  </si>
  <si>
    <t>09/07/2026</t>
  </si>
  <si>
    <t>Trần Nhơn Ái</t>
  </si>
  <si>
    <t>Lê Thị Tố Uyên</t>
  </si>
  <si>
    <t>13/07/2026</t>
  </si>
  <si>
    <t>Hồ Thị Lan</t>
  </si>
  <si>
    <t>14/07/2026</t>
  </si>
  <si>
    <t>Ngô Văn Thảo</t>
  </si>
  <si>
    <t>LEP233</t>
  </si>
  <si>
    <t>Sơn Quốc Phát</t>
  </si>
  <si>
    <t>LEP234</t>
  </si>
  <si>
    <t>Nguyễn Thị Thảo Tiên</t>
  </si>
  <si>
    <t>Purchasing</t>
  </si>
  <si>
    <t>Purchasing Lead</t>
  </si>
  <si>
    <t>15/07/2026</t>
  </si>
  <si>
    <t>LEP235</t>
  </si>
  <si>
    <t>Nguyễn Thị Phương Thủy</t>
  </si>
  <si>
    <t>Admin</t>
  </si>
  <si>
    <t>Assistant to Branch Manager</t>
  </si>
  <si>
    <t>16/07/2026</t>
  </si>
  <si>
    <t>Nguyễn Bá Trinh</t>
  </si>
  <si>
    <t>LEP100A</t>
  </si>
  <si>
    <t>LEP112A</t>
  </si>
  <si>
    <t>LEP116A</t>
  </si>
  <si>
    <t>Tăng mới tháng 8</t>
  </si>
  <si>
    <t>Tăng mới tháng 7</t>
  </si>
  <si>
    <r>
      <t xml:space="preserve">BẢNG CHẤM CÔNG THÁNG 08/ </t>
    </r>
    <r>
      <rPr>
        <i/>
        <sz val="20"/>
        <color theme="1"/>
        <rFont val="Aptos Narrow"/>
        <family val="2"/>
        <scheme val="minor"/>
      </rPr>
      <t>WORKING  TIME TABLE AUGUST</t>
    </r>
  </si>
  <si>
    <r>
      <t xml:space="preserve">BẢNG TĂNG CA THÁNG 08/ </t>
    </r>
    <r>
      <rPr>
        <i/>
        <sz val="20"/>
        <color theme="1"/>
        <rFont val="Aptos Narrow"/>
        <family val="2"/>
        <scheme val="minor"/>
      </rPr>
      <t>OVERTIME TABLE AUGUST</t>
    </r>
  </si>
  <si>
    <t>LEP236</t>
  </si>
  <si>
    <t>Đỗ Lê Nguyên</t>
  </si>
  <si>
    <t>Quách Tam Xuân</t>
  </si>
  <si>
    <t>Sơn Văn Vương</t>
  </si>
  <si>
    <t>Đặng Văn Trọng</t>
  </si>
  <si>
    <t>Nguyễn Thị Diễm Kiều</t>
  </si>
  <si>
    <t>LEP204D</t>
  </si>
  <si>
    <t>21/07/2026</t>
  </si>
  <si>
    <t>22/07/2026</t>
  </si>
  <si>
    <t>23/07/2026</t>
  </si>
  <si>
    <t>03/08/2026</t>
  </si>
  <si>
    <t>LEP066A</t>
  </si>
  <si>
    <t>LEP103A</t>
  </si>
  <si>
    <t>LEP237</t>
  </si>
  <si>
    <t>LEP336</t>
  </si>
  <si>
    <t>LEP241</t>
  </si>
  <si>
    <t>NghỈ việc do hết hợp đồng, còn dư 4 ngày phép</t>
  </si>
  <si>
    <t>Nghỉ việc hết thử việc</t>
  </si>
  <si>
    <t>Ngày nghỉ</t>
  </si>
  <si>
    <t>Loại nghỉ</t>
  </si>
  <si>
    <t>UL</t>
  </si>
  <si>
    <t>ỐM</t>
  </si>
  <si>
    <t>24/8/2026</t>
  </si>
  <si>
    <t>25/8/2026</t>
  </si>
  <si>
    <t>31/7/2026</t>
  </si>
  <si>
    <t>29/7/2026</t>
  </si>
  <si>
    <t>23/7/2026</t>
  </si>
  <si>
    <t>30/7/2026</t>
  </si>
  <si>
    <t>27/7/2026</t>
  </si>
  <si>
    <t>28/7/2026</t>
  </si>
  <si>
    <t>20/7/2026</t>
  </si>
  <si>
    <t>21/7/2026</t>
  </si>
  <si>
    <t>22/7/2026</t>
  </si>
  <si>
    <t>24/7/2026</t>
  </si>
  <si>
    <t>25/7/2026</t>
  </si>
  <si>
    <t xml:space="preserve">ỐM </t>
  </si>
  <si>
    <t>13/8/2026</t>
  </si>
  <si>
    <t>VỀ SỚM</t>
  </si>
  <si>
    <t>31/07/2026</t>
  </si>
  <si>
    <t>LEP244</t>
  </si>
  <si>
    <t>Huỳnh Văn Hiền</t>
  </si>
  <si>
    <t>10/08/2026</t>
  </si>
  <si>
    <t>LEP245</t>
  </si>
  <si>
    <t>Trương Thị Thuyền</t>
  </si>
  <si>
    <t>LEP246</t>
  </si>
  <si>
    <t>Phan Ngọc Thanh</t>
  </si>
  <si>
    <t>11/08/2026</t>
  </si>
  <si>
    <t>Bùi Văn Phú</t>
  </si>
  <si>
    <t>LEP248</t>
  </si>
  <si>
    <t>LEP242</t>
  </si>
  <si>
    <t>Trần Minh Tự</t>
  </si>
  <si>
    <t>LEP239</t>
  </si>
  <si>
    <t>Vũ Đình Kiên</t>
  </si>
  <si>
    <t>04/08/2026</t>
  </si>
  <si>
    <t>LEP240</t>
  </si>
  <si>
    <t>Ngô Hoàng Nhiên</t>
  </si>
  <si>
    <t>LEP249</t>
  </si>
  <si>
    <t>Nguyễn Trần Minh Nhật</t>
  </si>
  <si>
    <t>13/08/2026</t>
  </si>
  <si>
    <t>14/08/2026</t>
  </si>
  <si>
    <t>15/08/2026</t>
  </si>
  <si>
    <t>17/08/2026</t>
  </si>
  <si>
    <t>18/08/2026</t>
  </si>
  <si>
    <t>19/08/2026</t>
  </si>
  <si>
    <t>20/08/2026</t>
  </si>
  <si>
    <t>Ốm</t>
  </si>
  <si>
    <t>BT</t>
  </si>
  <si>
    <t>LEP250</t>
  </si>
  <si>
    <t>SL</t>
  </si>
  <si>
    <t>W/2 AL/2</t>
  </si>
  <si>
    <t>W/2 UL/2</t>
  </si>
  <si>
    <t>18/8/2026</t>
  </si>
  <si>
    <t>14/8/2026</t>
  </si>
  <si>
    <t>15/8/2026</t>
  </si>
  <si>
    <t>17/8/2026</t>
  </si>
  <si>
    <t>19/8/2026</t>
  </si>
  <si>
    <t>PL</t>
  </si>
  <si>
    <t>Bùi Đức Công</t>
  </si>
  <si>
    <t>LEP259</t>
  </si>
  <si>
    <t>Bùi Lê Anh Tuấn</t>
  </si>
  <si>
    <t>Tăng mới tháng 9</t>
  </si>
  <si>
    <t xml:space="preserve">Tăng mới tháng 8 </t>
  </si>
  <si>
    <t>Employee ID / Mã nhân viên</t>
  </si>
  <si>
    <t>Tiền năng suất từ anh Khoa</t>
  </si>
  <si>
    <t>LEP00146254</t>
  </si>
  <si>
    <t>LEP00446254</t>
  </si>
  <si>
    <t>LEP00546254</t>
  </si>
  <si>
    <t>LEP00746254</t>
  </si>
  <si>
    <t>LEP00946254</t>
  </si>
  <si>
    <t>LEP01046254</t>
  </si>
  <si>
    <t>LEP01146254</t>
  </si>
  <si>
    <t>LEP01446254</t>
  </si>
  <si>
    <t>LEP01846254</t>
  </si>
  <si>
    <t>LEP02246254</t>
  </si>
  <si>
    <t>LEP02346254</t>
  </si>
  <si>
    <t>LEP02646254</t>
  </si>
  <si>
    <t>LEP02746254</t>
  </si>
  <si>
    <t>LEP02846254</t>
  </si>
  <si>
    <t>LEP02946254</t>
  </si>
  <si>
    <t>LEP03146254</t>
  </si>
  <si>
    <t>LEP03646254</t>
  </si>
  <si>
    <t>LEP04046254</t>
  </si>
  <si>
    <t>LEP04546254</t>
  </si>
  <si>
    <t>LEP04846254</t>
  </si>
  <si>
    <t>LEP04946254</t>
  </si>
  <si>
    <t>LEP05246254</t>
  </si>
  <si>
    <t>LEP05446254</t>
  </si>
  <si>
    <t>LEP05646254</t>
  </si>
  <si>
    <t>LEP05746254</t>
  </si>
  <si>
    <t>LEP06246254</t>
  </si>
  <si>
    <t>LEP066A46254</t>
  </si>
  <si>
    <t>LEP06746254</t>
  </si>
  <si>
    <t>LEP06846254</t>
  </si>
  <si>
    <t>LEP06946254</t>
  </si>
  <si>
    <t>LEP07346254</t>
  </si>
  <si>
    <t>LEP07546254</t>
  </si>
  <si>
    <t>LEP08046254</t>
  </si>
  <si>
    <t>LEP09146254</t>
  </si>
  <si>
    <t>LEP100A46254</t>
  </si>
  <si>
    <t>LEP103A46254</t>
  </si>
  <si>
    <t>LEP10446254</t>
  </si>
  <si>
    <t>LEP10946254</t>
  </si>
  <si>
    <t>LEP112A46254</t>
  </si>
  <si>
    <t>LEP11346254</t>
  </si>
  <si>
    <t>LEP11446254</t>
  </si>
  <si>
    <t>LEP116A46254</t>
  </si>
  <si>
    <t>LEP12746254</t>
  </si>
  <si>
    <t>LEP13246254</t>
  </si>
  <si>
    <t>LEP13446254</t>
  </si>
  <si>
    <t>LEP14646254</t>
  </si>
  <si>
    <t>LEP14946254</t>
  </si>
  <si>
    <t>LEP15246254</t>
  </si>
  <si>
    <t>LEP15846254</t>
  </si>
  <si>
    <t>LEP165A46254</t>
  </si>
  <si>
    <t>LEP16946254</t>
  </si>
  <si>
    <t>LEP17046254</t>
  </si>
  <si>
    <t>LEP18046254</t>
  </si>
  <si>
    <t>LEP181C46254</t>
  </si>
  <si>
    <t>LEP181D46254</t>
  </si>
  <si>
    <t>LEP181F46254</t>
  </si>
  <si>
    <t>LEP186A46254</t>
  </si>
  <si>
    <t>LEP18946254</t>
  </si>
  <si>
    <t>LEP19046254</t>
  </si>
  <si>
    <t>LEP19146254</t>
  </si>
  <si>
    <t>LEP194A46254</t>
  </si>
  <si>
    <t>LEP19846254</t>
  </si>
  <si>
    <t>LEP20246254</t>
  </si>
  <si>
    <t>LEP20346254</t>
  </si>
  <si>
    <t>LEP204D46254</t>
  </si>
  <si>
    <t>LEP20546254</t>
  </si>
  <si>
    <t>LEP20646254</t>
  </si>
  <si>
    <t>LEP20846254</t>
  </si>
  <si>
    <t>LEP20946254</t>
  </si>
  <si>
    <t>LEP21146254</t>
  </si>
  <si>
    <t>LEP211B46254</t>
  </si>
  <si>
    <t>LEP21446254</t>
  </si>
  <si>
    <t>LEP215A46254</t>
  </si>
  <si>
    <t>LEP215B46254</t>
  </si>
  <si>
    <t>LEP21746254</t>
  </si>
  <si>
    <t>LEP217A46254</t>
  </si>
  <si>
    <t>LEP217B46254</t>
  </si>
  <si>
    <t>LEP217C46254</t>
  </si>
  <si>
    <t>LEP22046254</t>
  </si>
  <si>
    <t>LEP22146254</t>
  </si>
  <si>
    <t>LEP22246254</t>
  </si>
  <si>
    <t>LEP22546254</t>
  </si>
  <si>
    <t>LEP22646254</t>
  </si>
  <si>
    <t>LEP22746254</t>
  </si>
  <si>
    <t>LEP22846254</t>
  </si>
  <si>
    <t>LEP23346254</t>
  </si>
  <si>
    <t>LEP23446254</t>
  </si>
  <si>
    <t>LEP23546254</t>
  </si>
  <si>
    <t>LEP23646254</t>
  </si>
  <si>
    <t>LEP23746254</t>
  </si>
  <si>
    <t>LEP23946254</t>
  </si>
  <si>
    <t>LEP24046254</t>
  </si>
  <si>
    <t>LEP24146254</t>
  </si>
  <si>
    <t>LEP24246254</t>
  </si>
  <si>
    <t>LEP24446254</t>
  </si>
  <si>
    <t>LEP24546254</t>
  </si>
  <si>
    <t>LEP24646254</t>
  </si>
  <si>
    <t>LEP24846254</t>
  </si>
  <si>
    <t>LEP24946254</t>
  </si>
  <si>
    <t>LEP25046254</t>
  </si>
  <si>
    <t>LEP25946254</t>
  </si>
  <si>
    <t>LEP33646254</t>
  </si>
  <si>
    <t>stt</t>
  </si>
  <si>
    <t>MS</t>
  </si>
  <si>
    <t>MSNV</t>
  </si>
  <si>
    <t>Họ tên</t>
  </si>
  <si>
    <t>Bộ phận</t>
  </si>
  <si>
    <t>Chức vụ</t>
  </si>
  <si>
    <t>Ngày vào làm</t>
  </si>
  <si>
    <t>Mã số phòng ban</t>
  </si>
  <si>
    <t>8/9/2025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</si>
</sst>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ddd"/>
    <numFmt numFmtId="165" formatCode="0.0"/>
    <numFmt numFmtId="166" formatCode="_(* #,##0.00_);_(* \(#,##0.00\);_(* \-??_);_(@_)"/>
    <numFmt numFmtId="167" formatCode="_(* #,##0_);_(* \(#,##0\);_(* &quot;-&quot;??_);_(@_)"/>
    <numFmt numFmtId="168" formatCode="_(* #,##0.0_);_(* \(#,##0.0\);_(* &quot;-&quot;?_);_(@_)"/>
    <numFmt numFmtId="169" formatCode="[$-409]d\-mmm;@"/>
    <numFmt numFmtId="170" formatCode="[$-1010000]d/m/yyyy;@"/>
  </numFmts>
  <fonts count="4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8"/>
      <name val="Arial"/>
      <family val="2"/>
    </font>
    <font>
      <b/>
      <i/>
      <sz val="8"/>
      <name val="Arial"/>
      <family val="2"/>
    </font>
    <font>
      <b/>
      <sz val="7.5"/>
      <name val="Arial"/>
      <family val="2"/>
    </font>
    <font>
      <sz val="8"/>
      <name val="Arial"/>
      <family val="2"/>
    </font>
    <font>
      <sz val="11"/>
      <color rgb="FF9C6500"/>
      <name val="Aptos Narrow"/>
      <family val="2"/>
      <scheme val="minor"/>
    </font>
    <font>
      <sz val="10"/>
      <name val="Aptos Narrow"/>
      <family val="2"/>
      <scheme val="minor"/>
    </font>
    <font>
      <b/>
      <sz val="18"/>
      <color theme="3"/>
      <name val="Aptos Display"/>
      <family val="2"/>
      <scheme val="major"/>
    </font>
    <font>
      <b/>
      <sz val="11"/>
      <color rgb="FF0070C0"/>
      <name val="Aptos Narrow"/>
      <family val="2"/>
      <scheme val="minor"/>
    </font>
    <font>
      <sz val="10"/>
      <name val="Mangal"/>
      <family val="2"/>
    </font>
    <font>
      <sz val="10"/>
      <name val="Arial"/>
      <family val="2"/>
      <charset val="1"/>
    </font>
    <font>
      <sz val="10"/>
      <name val="Arial"/>
      <family val="2"/>
    </font>
    <font>
      <b/>
      <sz val="20"/>
      <color theme="1"/>
      <name val="Aptos Narrow"/>
      <family val="2"/>
      <scheme val="minor"/>
    </font>
    <font>
      <i/>
      <sz val="20"/>
      <color theme="1"/>
      <name val="Aptos Narrow"/>
      <family val="2"/>
      <scheme val="minor"/>
    </font>
    <font>
      <i/>
      <sz val="8"/>
      <name val="Arial"/>
      <family val="2"/>
    </font>
    <font>
      <sz val="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name val="宋体"/>
      <family val="3"/>
      <charset val="134"/>
    </font>
    <font>
      <sz val="8"/>
      <name val="Arial"/>
      <family val="2"/>
      <charset val="1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4"/>
      <name val="Aptos Narrow"/>
      <family val="2"/>
      <scheme val="minor"/>
    </font>
    <font>
      <sz val="10"/>
      <color rgb="FFFF0000"/>
      <name val="Arial"/>
      <family val="2"/>
    </font>
    <font>
      <sz val="9"/>
      <color indexed="81"/>
      <name val="Tahoma"/>
    </font>
    <font>
      <b/>
      <sz val="9"/>
      <color indexed="81"/>
      <name val="Tahoma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9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6" tint="0.59999389629810485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43" fontId="16" fillId="0" borderId="0" applyFont="0" applyFill="0" applyBorder="0" applyAlignment="0" applyProtection="0"/>
    <xf numFmtId="0" fontId="21" fillId="4" borderId="0" applyNumberFormat="0" applyBorder="0" applyAlignment="0" applyProtection="0"/>
    <xf numFmtId="0" fontId="22" fillId="0" borderId="0"/>
    <xf numFmtId="0" fontId="1" fillId="0" borderId="0"/>
    <xf numFmtId="0" fontId="23" fillId="0" borderId="0" applyNumberFormat="0" applyFill="0" applyBorder="0" applyAlignment="0" applyProtection="0"/>
    <xf numFmtId="0" fontId="1" fillId="0" borderId="0"/>
    <xf numFmtId="0" fontId="26" fillId="0" borderId="0"/>
    <xf numFmtId="166" fontId="25" fillId="0" borderId="0" applyFill="0" applyBorder="0" applyAlignment="0" applyProtection="0"/>
    <xf numFmtId="0" fontId="27" fillId="0" borderId="0"/>
    <xf numFmtId="0" fontId="22" fillId="0" borderId="0"/>
    <xf numFmtId="43" fontId="1" fillId="0" borderId="0" applyFont="0" applyFill="0" applyBorder="0" applyAlignment="0" applyProtection="0"/>
    <xf numFmtId="0" fontId="33" fillId="0" borderId="0">
      <alignment vertical="center"/>
    </xf>
  </cellStyleXfs>
  <cellXfs count="125">
    <xf numFmtId="0" fontId="0" fillId="0" borderId="0" xfId="0"/>
    <xf numFmtId="43" fontId="20" fillId="0" borderId="10" xfId="41" applyFont="1" applyFill="1" applyBorder="1" applyAlignment="1">
      <alignment horizontal="center" vertical="center" shrinkToFit="1"/>
    </xf>
    <xf numFmtId="0" fontId="20" fillId="0" borderId="10" xfId="43" applyFont="1" applyBorder="1" applyAlignment="1">
      <alignment horizontal="center" vertical="center"/>
    </xf>
    <xf numFmtId="0" fontId="20" fillId="34" borderId="10" xfId="43" applyFont="1" applyFill="1" applyBorder="1" applyAlignment="1">
      <alignment vertical="center" wrapText="1"/>
    </xf>
    <xf numFmtId="0" fontId="24" fillId="0" borderId="0" xfId="0" applyFont="1"/>
    <xf numFmtId="164" fontId="18" fillId="35" borderId="10" xfId="43" applyNumberFormat="1" applyFont="1" applyFill="1" applyBorder="1" applyAlignment="1">
      <alignment horizontal="center" vertical="center"/>
    </xf>
    <xf numFmtId="164" fontId="19" fillId="35" borderId="10" xfId="43" applyNumberFormat="1" applyFont="1" applyFill="1" applyBorder="1" applyAlignment="1">
      <alignment horizontal="center" vertical="center"/>
    </xf>
    <xf numFmtId="14" fontId="17" fillId="35" borderId="10" xfId="43" applyNumberFormat="1" applyFont="1" applyFill="1" applyBorder="1" applyAlignment="1">
      <alignment horizontal="center" vertical="center"/>
    </xf>
    <xf numFmtId="0" fontId="20" fillId="37" borderId="10" xfId="43" applyFont="1" applyFill="1" applyBorder="1" applyAlignment="1">
      <alignment vertical="center" wrapText="1"/>
    </xf>
    <xf numFmtId="0" fontId="0" fillId="37" borderId="0" xfId="0" applyFill="1"/>
    <xf numFmtId="0" fontId="31" fillId="0" borderId="10" xfId="0" applyFont="1" applyBorder="1"/>
    <xf numFmtId="49" fontId="20" fillId="0" borderId="10" xfId="0" applyNumberFormat="1" applyFont="1" applyBorder="1" applyAlignment="1">
      <alignment vertical="center"/>
    </xf>
    <xf numFmtId="49" fontId="20" fillId="0" borderId="10" xfId="0" applyNumberFormat="1" applyFont="1" applyBorder="1" applyAlignment="1">
      <alignment horizontal="left" vertical="center"/>
    </xf>
    <xf numFmtId="0" fontId="32" fillId="0" borderId="0" xfId="0" applyFont="1"/>
    <xf numFmtId="49" fontId="20" fillId="0" borderId="10" xfId="0" applyNumberFormat="1" applyFont="1" applyBorder="1" applyAlignment="1" applyProtection="1">
      <alignment vertical="center"/>
      <protection locked="0"/>
    </xf>
    <xf numFmtId="43" fontId="20" fillId="0" borderId="10" xfId="43" applyNumberFormat="1" applyFont="1" applyBorder="1" applyAlignment="1">
      <alignment horizontal="center" vertical="center"/>
    </xf>
    <xf numFmtId="0" fontId="20" fillId="0" borderId="10" xfId="43" applyFont="1" applyBorder="1" applyAlignment="1">
      <alignment vertical="center" wrapText="1"/>
    </xf>
    <xf numFmtId="0" fontId="20" fillId="0" borderId="10" xfId="43" applyFont="1" applyBorder="1" applyAlignment="1">
      <alignment horizontal="left" vertical="center" wrapText="1" shrinkToFit="1"/>
    </xf>
    <xf numFmtId="14" fontId="20" fillId="0" borderId="10" xfId="43" quotePrefix="1" applyNumberFormat="1" applyFont="1" applyBorder="1" applyAlignment="1">
      <alignment horizontal="left" vertical="center" wrapText="1" shrinkToFit="1"/>
    </xf>
    <xf numFmtId="0" fontId="31" fillId="0" borderId="10" xfId="0" applyFont="1" applyBorder="1" applyAlignment="1">
      <alignment wrapText="1"/>
    </xf>
    <xf numFmtId="43" fontId="0" fillId="0" borderId="0" xfId="0" applyNumberFormat="1"/>
    <xf numFmtId="43" fontId="0" fillId="37" borderId="0" xfId="0" applyNumberFormat="1" applyFill="1"/>
    <xf numFmtId="0" fontId="28" fillId="0" borderId="0" xfId="0" applyFont="1" applyAlignment="1">
      <alignment vertical="center"/>
    </xf>
    <xf numFmtId="49" fontId="34" fillId="0" borderId="10" xfId="0" applyNumberFormat="1" applyFont="1" applyBorder="1" applyAlignment="1">
      <alignment horizontal="left" vertical="center"/>
    </xf>
    <xf numFmtId="49" fontId="34" fillId="0" borderId="10" xfId="0" applyNumberFormat="1" applyFont="1" applyBorder="1" applyAlignment="1" applyProtection="1">
      <alignment horizontal="left" vertical="center"/>
      <protection locked="0"/>
    </xf>
    <xf numFmtId="0" fontId="20" fillId="34" borderId="10" xfId="43" applyFont="1" applyFill="1" applyBorder="1" applyAlignment="1">
      <alignment horizontal="left" vertical="center" wrapText="1" shrinkToFit="1"/>
    </xf>
    <xf numFmtId="0" fontId="20" fillId="37" borderId="10" xfId="43" applyFont="1" applyFill="1" applyBorder="1" applyAlignment="1">
      <alignment horizontal="center" vertical="center"/>
    </xf>
    <xf numFmtId="0" fontId="20" fillId="37" borderId="10" xfId="43" applyFont="1" applyFill="1" applyBorder="1" applyAlignment="1">
      <alignment horizontal="left" vertical="center" wrapText="1" shrinkToFit="1"/>
    </xf>
    <xf numFmtId="43" fontId="20" fillId="37" borderId="10" xfId="43" applyNumberFormat="1" applyFont="1" applyFill="1" applyBorder="1" applyAlignment="1">
      <alignment horizontal="center" vertical="center"/>
    </xf>
    <xf numFmtId="14" fontId="20" fillId="34" borderId="10" xfId="43" applyNumberFormat="1" applyFont="1" applyFill="1" applyBorder="1" applyAlignment="1">
      <alignment horizontal="left" vertical="center" wrapText="1" shrinkToFit="1"/>
    </xf>
    <xf numFmtId="14" fontId="20" fillId="34" borderId="10" xfId="43" quotePrefix="1" applyNumberFormat="1" applyFont="1" applyFill="1" applyBorder="1" applyAlignment="1">
      <alignment horizontal="left" vertical="center" wrapText="1" shrinkToFit="1"/>
    </xf>
    <xf numFmtId="49" fontId="20" fillId="37" borderId="10" xfId="0" applyNumberFormat="1" applyFont="1" applyFill="1" applyBorder="1" applyAlignment="1">
      <alignment horizontal="left" vertical="center"/>
    </xf>
    <xf numFmtId="49" fontId="20" fillId="37" borderId="10" xfId="0" applyNumberFormat="1" applyFont="1" applyFill="1" applyBorder="1" applyAlignment="1" applyProtection="1">
      <alignment vertical="center"/>
      <protection locked="0"/>
    </xf>
    <xf numFmtId="49" fontId="34" fillId="37" borderId="10" xfId="0" applyNumberFormat="1" applyFont="1" applyFill="1" applyBorder="1" applyAlignment="1">
      <alignment horizontal="left" vertical="center"/>
    </xf>
    <xf numFmtId="49" fontId="34" fillId="37" borderId="10" xfId="0" applyNumberFormat="1" applyFont="1" applyFill="1" applyBorder="1" applyAlignment="1" applyProtection="1">
      <alignment horizontal="left" vertical="center"/>
      <protection locked="0"/>
    </xf>
    <xf numFmtId="167" fontId="20" fillId="0" borderId="10" xfId="41" applyNumberFormat="1" applyFont="1" applyFill="1" applyBorder="1" applyAlignment="1">
      <alignment horizontal="center" vertical="center" shrinkToFit="1"/>
    </xf>
    <xf numFmtId="14" fontId="20" fillId="37" borderId="10" xfId="43" quotePrefix="1" applyNumberFormat="1" applyFont="1" applyFill="1" applyBorder="1" applyAlignment="1">
      <alignment horizontal="left" vertical="center" wrapText="1" shrinkToFit="1"/>
    </xf>
    <xf numFmtId="0" fontId="20" fillId="37" borderId="10" xfId="43" applyFont="1" applyFill="1" applyBorder="1" applyAlignment="1">
      <alignment horizontal="center" vertical="center" wrapText="1"/>
    </xf>
    <xf numFmtId="49" fontId="34" fillId="37" borderId="10" xfId="0" applyNumberFormat="1" applyFont="1" applyFill="1" applyBorder="1" applyAlignment="1" applyProtection="1">
      <alignment vertical="center"/>
      <protection locked="0"/>
    </xf>
    <xf numFmtId="0" fontId="20" fillId="0" borderId="10" xfId="43" applyFont="1" applyBorder="1" applyAlignment="1">
      <alignment horizontal="center" vertical="center" wrapText="1"/>
    </xf>
    <xf numFmtId="49" fontId="34" fillId="0" borderId="10" xfId="0" applyNumberFormat="1" applyFont="1" applyBorder="1" applyAlignment="1" applyProtection="1">
      <alignment vertical="center"/>
      <protection locked="0"/>
    </xf>
    <xf numFmtId="0" fontId="20" fillId="34" borderId="10" xfId="43" applyFont="1" applyFill="1" applyBorder="1" applyAlignment="1">
      <alignment horizontal="center" vertical="center" wrapText="1"/>
    </xf>
    <xf numFmtId="0" fontId="27" fillId="0" borderId="10" xfId="43" applyFont="1" applyBorder="1" applyAlignment="1">
      <alignment horizontal="center" vertical="center"/>
    </xf>
    <xf numFmtId="0" fontId="27" fillId="34" borderId="10" xfId="43" applyFont="1" applyFill="1" applyBorder="1" applyAlignment="1">
      <alignment vertical="center" wrapText="1"/>
    </xf>
    <xf numFmtId="0" fontId="27" fillId="34" borderId="10" xfId="43" applyFont="1" applyFill="1" applyBorder="1" applyAlignment="1">
      <alignment horizontal="left" vertical="center" wrapText="1" shrinkToFit="1"/>
    </xf>
    <xf numFmtId="43" fontId="27" fillId="0" borderId="10" xfId="41" applyFont="1" applyFill="1" applyBorder="1" applyAlignment="1">
      <alignment horizontal="center" vertical="center" shrinkToFit="1"/>
    </xf>
    <xf numFmtId="167" fontId="27" fillId="0" borderId="10" xfId="41" applyNumberFormat="1" applyFont="1" applyFill="1" applyBorder="1" applyAlignment="1">
      <alignment horizontal="center" vertical="center" shrinkToFit="1"/>
    </xf>
    <xf numFmtId="43" fontId="27" fillId="0" borderId="10" xfId="43" applyNumberFormat="1" applyFont="1" applyBorder="1" applyAlignment="1">
      <alignment horizontal="center" vertical="center"/>
    </xf>
    <xf numFmtId="168" fontId="36" fillId="0" borderId="10" xfId="0" applyNumberFormat="1" applyFont="1" applyBorder="1"/>
    <xf numFmtId="165" fontId="27" fillId="0" borderId="10" xfId="43" applyNumberFormat="1" applyFont="1" applyBorder="1" applyAlignment="1">
      <alignment horizontal="center" vertical="center"/>
    </xf>
    <xf numFmtId="167" fontId="27" fillId="0" borderId="10" xfId="51" applyNumberFormat="1" applyFont="1" applyBorder="1" applyAlignment="1">
      <alignment horizontal="center" vertical="center"/>
    </xf>
    <xf numFmtId="0" fontId="36" fillId="0" borderId="10" xfId="0" applyFont="1" applyBorder="1"/>
    <xf numFmtId="167" fontId="27" fillId="0" borderId="10" xfId="51" applyNumberFormat="1" applyFont="1" applyFill="1" applyBorder="1" applyAlignment="1">
      <alignment horizontal="center" vertical="center"/>
    </xf>
    <xf numFmtId="0" fontId="27" fillId="37" borderId="10" xfId="43" applyFont="1" applyFill="1" applyBorder="1" applyAlignment="1">
      <alignment horizontal="center" vertical="center"/>
    </xf>
    <xf numFmtId="0" fontId="27" fillId="37" borderId="10" xfId="43" applyFont="1" applyFill="1" applyBorder="1" applyAlignment="1">
      <alignment vertical="center" wrapText="1"/>
    </xf>
    <xf numFmtId="0" fontId="27" fillId="37" borderId="10" xfId="43" applyFont="1" applyFill="1" applyBorder="1" applyAlignment="1">
      <alignment horizontal="left" vertical="center" wrapText="1" shrinkToFit="1"/>
    </xf>
    <xf numFmtId="0" fontId="27" fillId="0" borderId="10" xfId="43" applyFont="1" applyBorder="1" applyAlignment="1">
      <alignment vertical="center" wrapText="1"/>
    </xf>
    <xf numFmtId="0" fontId="27" fillId="0" borderId="10" xfId="43" applyFont="1" applyBorder="1" applyAlignment="1">
      <alignment horizontal="left" vertical="center" wrapText="1" shrinkToFit="1"/>
    </xf>
    <xf numFmtId="0" fontId="36" fillId="0" borderId="10" xfId="0" applyFont="1" applyBorder="1" applyAlignment="1">
      <alignment wrapText="1"/>
    </xf>
    <xf numFmtId="14" fontId="27" fillId="34" borderId="10" xfId="43" applyNumberFormat="1" applyFont="1" applyFill="1" applyBorder="1" applyAlignment="1">
      <alignment horizontal="left" vertical="center" wrapText="1" shrinkToFit="1"/>
    </xf>
    <xf numFmtId="14" fontId="27" fillId="34" borderId="10" xfId="43" quotePrefix="1" applyNumberFormat="1" applyFont="1" applyFill="1" applyBorder="1" applyAlignment="1">
      <alignment horizontal="left" vertical="center" wrapText="1" shrinkToFit="1"/>
    </xf>
    <xf numFmtId="49" fontId="27" fillId="0" borderId="10" xfId="0" applyNumberFormat="1" applyFont="1" applyBorder="1" applyAlignment="1">
      <alignment horizontal="left" vertical="center"/>
    </xf>
    <xf numFmtId="14" fontId="27" fillId="0" borderId="10" xfId="43" quotePrefix="1" applyNumberFormat="1" applyFont="1" applyBorder="1" applyAlignment="1">
      <alignment horizontal="left" vertical="center" wrapText="1" shrinkToFit="1"/>
    </xf>
    <xf numFmtId="49" fontId="27" fillId="37" borderId="10" xfId="0" applyNumberFormat="1" applyFont="1" applyFill="1" applyBorder="1" applyAlignment="1">
      <alignment horizontal="left" vertical="center"/>
    </xf>
    <xf numFmtId="14" fontId="27" fillId="37" borderId="10" xfId="43" quotePrefix="1" applyNumberFormat="1" applyFont="1" applyFill="1" applyBorder="1" applyAlignment="1">
      <alignment horizontal="left" vertical="center" wrapText="1" shrinkToFit="1"/>
    </xf>
    <xf numFmtId="49" fontId="27" fillId="0" borderId="10" xfId="0" applyNumberFormat="1" applyFont="1" applyBorder="1" applyAlignment="1" applyProtection="1">
      <alignment vertical="center"/>
      <protection locked="0"/>
    </xf>
    <xf numFmtId="49" fontId="26" fillId="0" borderId="10" xfId="0" applyNumberFormat="1" applyFont="1" applyBorder="1" applyAlignment="1">
      <alignment horizontal="left" vertical="center"/>
    </xf>
    <xf numFmtId="49" fontId="26" fillId="0" borderId="10" xfId="0" applyNumberFormat="1" applyFont="1" applyBorder="1" applyAlignment="1" applyProtection="1">
      <alignment horizontal="left" vertical="center"/>
      <protection locked="0"/>
    </xf>
    <xf numFmtId="0" fontId="27" fillId="0" borderId="10" xfId="43" applyFont="1" applyBorder="1" applyAlignment="1">
      <alignment horizontal="center" vertical="center" wrapText="1"/>
    </xf>
    <xf numFmtId="49" fontId="26" fillId="0" borderId="10" xfId="0" applyNumberFormat="1" applyFont="1" applyBorder="1" applyAlignment="1" applyProtection="1">
      <alignment vertical="center"/>
      <protection locked="0"/>
    </xf>
    <xf numFmtId="0" fontId="0" fillId="0" borderId="10" xfId="0" applyBorder="1"/>
    <xf numFmtId="0" fontId="37" fillId="0" borderId="0" xfId="0" applyFont="1"/>
    <xf numFmtId="0" fontId="38" fillId="0" borderId="0" xfId="0" applyFont="1"/>
    <xf numFmtId="43" fontId="39" fillId="0" borderId="10" xfId="41" applyFont="1" applyFill="1" applyBorder="1" applyAlignment="1">
      <alignment horizontal="center" vertical="center" shrinkToFit="1"/>
    </xf>
    <xf numFmtId="167" fontId="0" fillId="0" borderId="0" xfId="51" applyNumberFormat="1" applyFont="1"/>
    <xf numFmtId="169" fontId="17" fillId="35" borderId="10" xfId="43" applyNumberFormat="1" applyFont="1" applyFill="1" applyBorder="1" applyAlignment="1">
      <alignment horizontal="center" vertical="center"/>
    </xf>
    <xf numFmtId="0" fontId="27" fillId="38" borderId="10" xfId="43" applyFont="1" applyFill="1" applyBorder="1" applyAlignment="1">
      <alignment horizontal="center" vertical="center"/>
    </xf>
    <xf numFmtId="0" fontId="27" fillId="38" borderId="10" xfId="43" applyFont="1" applyFill="1" applyBorder="1" applyAlignment="1">
      <alignment vertical="center" wrapText="1"/>
    </xf>
    <xf numFmtId="49" fontId="27" fillId="38" borderId="10" xfId="0" applyNumberFormat="1" applyFont="1" applyFill="1" applyBorder="1" applyAlignment="1">
      <alignment horizontal="left" vertical="center"/>
    </xf>
    <xf numFmtId="0" fontId="27" fillId="38" borderId="10" xfId="43" applyFont="1" applyFill="1" applyBorder="1" applyAlignment="1">
      <alignment horizontal="left" vertical="center" wrapText="1" shrinkToFit="1"/>
    </xf>
    <xf numFmtId="14" fontId="27" fillId="38" borderId="10" xfId="43" quotePrefix="1" applyNumberFormat="1" applyFont="1" applyFill="1" applyBorder="1" applyAlignment="1">
      <alignment horizontal="left" vertical="center" wrapText="1" shrinkToFit="1"/>
    </xf>
    <xf numFmtId="167" fontId="27" fillId="38" borderId="10" xfId="41" applyNumberFormat="1" applyFont="1" applyFill="1" applyBorder="1" applyAlignment="1">
      <alignment horizontal="center" vertical="center" shrinkToFit="1"/>
    </xf>
    <xf numFmtId="43" fontId="27" fillId="38" borderId="10" xfId="43" applyNumberFormat="1" applyFont="1" applyFill="1" applyBorder="1" applyAlignment="1">
      <alignment horizontal="center" vertical="center"/>
    </xf>
    <xf numFmtId="168" fontId="36" fillId="38" borderId="10" xfId="0" applyNumberFormat="1" applyFont="1" applyFill="1" applyBorder="1"/>
    <xf numFmtId="167" fontId="27" fillId="38" borderId="10" xfId="51" applyNumberFormat="1" applyFont="1" applyFill="1" applyBorder="1" applyAlignment="1">
      <alignment horizontal="center" vertical="center"/>
    </xf>
    <xf numFmtId="43" fontId="0" fillId="38" borderId="0" xfId="0" applyNumberFormat="1" applyFill="1"/>
    <xf numFmtId="0" fontId="0" fillId="38" borderId="0" xfId="0" applyFill="1"/>
    <xf numFmtId="43" fontId="27" fillId="38" borderId="10" xfId="41" applyFont="1" applyFill="1" applyBorder="1" applyAlignment="1">
      <alignment horizontal="center" vertical="center" shrinkToFit="1"/>
    </xf>
    <xf numFmtId="165" fontId="27" fillId="38" borderId="10" xfId="43" applyNumberFormat="1" applyFont="1" applyFill="1" applyBorder="1" applyAlignment="1">
      <alignment horizontal="center" vertical="center"/>
    </xf>
    <xf numFmtId="49" fontId="26" fillId="38" borderId="10" xfId="0" applyNumberFormat="1" applyFont="1" applyFill="1" applyBorder="1" applyAlignment="1">
      <alignment horizontal="left" vertical="center"/>
    </xf>
    <xf numFmtId="0" fontId="27" fillId="38" borderId="10" xfId="43" applyFont="1" applyFill="1" applyBorder="1" applyAlignment="1">
      <alignment horizontal="center" vertical="center" wrapText="1"/>
    </xf>
    <xf numFmtId="49" fontId="26" fillId="38" borderId="10" xfId="0" applyNumberFormat="1" applyFont="1" applyFill="1" applyBorder="1" applyAlignment="1" applyProtection="1">
      <alignment vertical="center"/>
      <protection locked="0"/>
    </xf>
    <xf numFmtId="0" fontId="36" fillId="38" borderId="10" xfId="0" applyFont="1" applyFill="1" applyBorder="1" applyAlignment="1">
      <alignment vertical="center"/>
    </xf>
    <xf numFmtId="14" fontId="0" fillId="0" borderId="10" xfId="0" applyNumberFormat="1" applyBorder="1"/>
    <xf numFmtId="0" fontId="17" fillId="33" borderId="10" xfId="43" applyFont="1" applyFill="1" applyBorder="1" applyAlignment="1">
      <alignment horizontal="center" vertical="center" wrapText="1"/>
    </xf>
    <xf numFmtId="164" fontId="18" fillId="39" borderId="10" xfId="43" applyNumberFormat="1" applyFont="1" applyFill="1" applyBorder="1" applyAlignment="1">
      <alignment horizontal="center" vertical="center"/>
    </xf>
    <xf numFmtId="43" fontId="27" fillId="37" borderId="10" xfId="41" applyFont="1" applyFill="1" applyBorder="1" applyAlignment="1">
      <alignment horizontal="center" vertical="center" shrinkToFit="1"/>
    </xf>
    <xf numFmtId="0" fontId="27" fillId="34" borderId="0" xfId="43" applyFont="1" applyFill="1" applyAlignment="1">
      <alignment vertical="center" wrapText="1"/>
    </xf>
    <xf numFmtId="0" fontId="0" fillId="0" borderId="11" xfId="0" applyBorder="1"/>
    <xf numFmtId="14" fontId="0" fillId="0" borderId="0" xfId="0" applyNumberFormat="1"/>
    <xf numFmtId="0" fontId="20" fillId="0" borderId="10" xfId="50" applyFont="1" applyBorder="1" applyAlignment="1">
      <alignment horizontal="left" vertical="center" wrapText="1" shrinkToFit="1"/>
    </xf>
    <xf numFmtId="43" fontId="27" fillId="0" borderId="11" xfId="41" applyFont="1" applyFill="1" applyBorder="1" applyAlignment="1">
      <alignment horizontal="center" vertical="center" shrinkToFit="1"/>
    </xf>
    <xf numFmtId="14" fontId="27" fillId="0" borderId="10" xfId="43" applyNumberFormat="1" applyFont="1" applyBorder="1" applyAlignment="1">
      <alignment horizontal="left" vertical="center" wrapText="1" shrinkToFit="1"/>
    </xf>
    <xf numFmtId="167" fontId="27" fillId="40" borderId="10" xfId="51" applyNumberFormat="1" applyFont="1" applyFill="1" applyBorder="1" applyAlignment="1">
      <alignment horizontal="center" vertical="center"/>
    </xf>
    <xf numFmtId="170" fontId="0" fillId="0" borderId="0" xfId="0" applyNumberFormat="1"/>
    <xf numFmtId="170" fontId="0" fillId="0" borderId="0" xfId="0" quotePrefix="1" applyNumberFormat="1"/>
    <xf numFmtId="49" fontId="17" fillId="33" borderId="10" xfId="43" applyNumberFormat="1" applyFont="1" applyFill="1" applyBorder="1" applyAlignment="1">
      <alignment horizontal="center" vertical="center" wrapText="1"/>
    </xf>
    <xf numFmtId="49" fontId="17" fillId="36" borderId="12" xfId="43" applyNumberFormat="1" applyFont="1" applyFill="1" applyBorder="1" applyAlignment="1">
      <alignment horizontal="center" vertical="center" wrapText="1"/>
    </xf>
    <xf numFmtId="49" fontId="17" fillId="36" borderId="11" xfId="43" applyNumberFormat="1" applyFont="1" applyFill="1" applyBorder="1" applyAlignment="1">
      <alignment horizontal="center" vertical="center" wrapText="1"/>
    </xf>
    <xf numFmtId="49" fontId="17" fillId="36" borderId="13" xfId="43" applyNumberFormat="1" applyFont="1" applyFill="1" applyBorder="1" applyAlignment="1">
      <alignment horizontal="center" vertical="center" wrapText="1"/>
    </xf>
    <xf numFmtId="167" fontId="17" fillId="36" borderId="12" xfId="51" applyNumberFormat="1" applyFont="1" applyFill="1" applyBorder="1" applyAlignment="1">
      <alignment horizontal="center" vertical="center" wrapText="1"/>
    </xf>
    <xf numFmtId="167" fontId="17" fillId="36" borderId="11" xfId="51" applyNumberFormat="1" applyFont="1" applyFill="1" applyBorder="1" applyAlignment="1">
      <alignment horizontal="center" vertical="center" wrapText="1"/>
    </xf>
    <xf numFmtId="167" fontId="17" fillId="36" borderId="13" xfId="51" applyNumberFormat="1" applyFont="1" applyFill="1" applyBorder="1" applyAlignment="1">
      <alignment horizontal="center" vertical="center" wrapText="1"/>
    </xf>
    <xf numFmtId="49" fontId="17" fillId="36" borderId="10" xfId="43" applyNumberFormat="1" applyFont="1" applyFill="1" applyBorder="1" applyAlignment="1">
      <alignment horizontal="center" vertical="center" wrapText="1"/>
    </xf>
    <xf numFmtId="0" fontId="17" fillId="33" borderId="10" xfId="43" applyFont="1" applyFill="1" applyBorder="1" applyAlignment="1">
      <alignment horizontal="center" vertical="center" wrapText="1"/>
    </xf>
    <xf numFmtId="0" fontId="17" fillId="33" borderId="10" xfId="43" applyFont="1" applyFill="1" applyBorder="1" applyAlignment="1">
      <alignment horizontal="center" vertical="center"/>
    </xf>
    <xf numFmtId="0" fontId="17" fillId="33" borderId="12" xfId="43" applyFont="1" applyFill="1" applyBorder="1" applyAlignment="1">
      <alignment horizontal="center" vertical="center"/>
    </xf>
    <xf numFmtId="0" fontId="17" fillId="33" borderId="11" xfId="43" applyFont="1" applyFill="1" applyBorder="1" applyAlignment="1">
      <alignment horizontal="center" vertical="center"/>
    </xf>
    <xf numFmtId="0" fontId="17" fillId="33" borderId="13" xfId="43" applyFont="1" applyFill="1" applyBorder="1" applyAlignment="1">
      <alignment horizontal="center" vertical="center"/>
    </xf>
    <xf numFmtId="43" fontId="27" fillId="0" borderId="14" xfId="41" applyFont="1" applyFill="1" applyBorder="1" applyAlignment="1">
      <alignment horizontal="center" vertical="center" shrinkToFit="1"/>
    </xf>
    <xf numFmtId="43" fontId="27" fillId="0" borderId="15" xfId="41" applyFont="1" applyFill="1" applyBorder="1" applyAlignment="1">
      <alignment horizontal="center" vertical="center" shrinkToFit="1"/>
    </xf>
    <xf numFmtId="43" fontId="27" fillId="0" borderId="16" xfId="41" applyFont="1" applyFill="1" applyBorder="1" applyAlignment="1">
      <alignment horizontal="center" vertical="center" shrinkToFit="1"/>
    </xf>
    <xf numFmtId="43" fontId="27" fillId="38" borderId="14" xfId="41" applyFont="1" applyFill="1" applyBorder="1" applyAlignment="1">
      <alignment horizontal="center" vertical="center" shrinkToFit="1"/>
    </xf>
    <xf numFmtId="43" fontId="27" fillId="38" borderId="15" xfId="41" applyFont="1" applyFill="1" applyBorder="1" applyAlignment="1">
      <alignment horizontal="center" vertical="center" shrinkToFit="1"/>
    </xf>
    <xf numFmtId="43" fontId="27" fillId="38" borderId="16" xfId="41" applyFont="1" applyFill="1" applyBorder="1" applyAlignment="1">
      <alignment horizontal="center" vertical="center" shrinkToFit="1"/>
    </xf>
  </cellXfs>
  <cellStyles count="53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5" xr:uid="{A0F7449F-7A92-449E-B9C6-E92BF7FA9000}"/>
    <cellStyle name="60% - Accent2 2" xfId="36" xr:uid="{56C862B9-42FE-4FB0-934F-0B14F084D5DA}"/>
    <cellStyle name="60% - Accent3 2" xfId="37" xr:uid="{9FB0D1D5-6E8E-4B18-B925-1B185D919BB8}"/>
    <cellStyle name="60% - Accent4 2" xfId="38" xr:uid="{7B2C1293-B8B7-43F8-9DB6-9EA98E675971}"/>
    <cellStyle name="60% - Accent5 2" xfId="39" xr:uid="{7A7FADDB-868E-4158-8043-E98A40840060}"/>
    <cellStyle name="60% - Accent6 2" xfId="40" xr:uid="{511EADE2-A49C-422E-ADEE-46AD7621AF36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Comma" xfId="51" builtinId="3"/>
    <cellStyle name="Comma 2" xfId="48" xr:uid="{F3C7CC02-4543-4C34-9CA5-B83C7E3759BB}"/>
    <cellStyle name="Comma 3" xfId="41" xr:uid="{D7C4931D-E626-4771-AEF4-899D7304FA49}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42" xr:uid="{0D24D035-C435-4A83-BF0D-09E5396BBC05}"/>
    <cellStyle name="Normal" xfId="0" builtinId="0"/>
    <cellStyle name="Normal - Style1" xfId="47" xr:uid="{6986D51C-C1DF-486C-8BDA-CD9A6C4D730F}"/>
    <cellStyle name="Normal 2" xfId="43" xr:uid="{D2CB3160-829C-40DB-88CE-C6BBAF3A1B89}"/>
    <cellStyle name="Normal 2 3" xfId="50" xr:uid="{F1DC90DB-7A41-4E22-A367-6948B9E37AA5}"/>
    <cellStyle name="Normal 3" xfId="44" xr:uid="{87C4DF12-8FC5-41CB-9377-BD67BFC57367}"/>
    <cellStyle name="Normal 4" xfId="46" xr:uid="{54B4EF36-3946-435A-A351-64A2054D3E0B}"/>
    <cellStyle name="Normal 40" xfId="49" xr:uid="{F8AE387E-746A-48AD-BEC5-EF0C5EB79B11}"/>
    <cellStyle name="Normal 5" xfId="34" xr:uid="{CB3BDD53-7BF7-413A-90D9-5F6B7BFB8F97}"/>
    <cellStyle name="Note" xfId="13" builtinId="10" customBuiltin="1"/>
    <cellStyle name="Output" xfId="8" builtinId="21" customBuiltin="1"/>
    <cellStyle name="Title 2" xfId="45" xr:uid="{83D3C6ED-D76B-4E77-9133-61003EB51B9C}"/>
    <cellStyle name="Total" xfId="15" builtinId="25" customBuiltin="1"/>
    <cellStyle name="Warning Text" xfId="12" builtinId="11" customBuiltin="1"/>
    <cellStyle name="常规 2 16 4" xfId="52" xr:uid="{DF8ECAF2-BD3A-450D-A8F8-1B06AEE44A35}"/>
  </cellStyles>
  <dxfs count="7"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C1052.71CC0130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C1052.71CC0130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C1052.71CC013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215900</xdr:colOff>
      <xdr:row>0</xdr:row>
      <xdr:rowOff>31751</xdr:rowOff>
    </xdr:from>
    <xdr:to>
      <xdr:col>3</xdr:col>
      <xdr:colOff>958850</xdr:colOff>
      <xdr:row>2</xdr:row>
      <xdr:rowOff>126549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A0A644-A0A6-4CEA-8A92-6A6571A5D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31751"/>
          <a:ext cx="1708150" cy="5329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287338</xdr:colOff>
      <xdr:row>0</xdr:row>
      <xdr:rowOff>0</xdr:rowOff>
    </xdr:from>
    <xdr:to>
      <xdr:col>4</xdr:col>
      <xdr:colOff>77789</xdr:colOff>
      <xdr:row>1</xdr:row>
      <xdr:rowOff>218280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81ACC0-02DA-4AB2-98CF-7A4B26323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057" y="0"/>
          <a:ext cx="1862138" cy="408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215900</xdr:colOff>
      <xdr:row>0</xdr:row>
      <xdr:rowOff>31751</xdr:rowOff>
    </xdr:from>
    <xdr:to>
      <xdr:col>3</xdr:col>
      <xdr:colOff>958850</xdr:colOff>
      <xdr:row>2</xdr:row>
      <xdr:rowOff>126549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B0D2EE-4600-4DC0-980F-4B8EC4109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31751"/>
          <a:ext cx="1708150" cy="5329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hoi Nguyen" id="{1C6FA154-1459-412A-A1C5-3ABB525A2142}" userId="S::khoi.nguyen@leggett.com::c4750f13-4436-48ba-8461-ebedd11f8f7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48" dT="2026-06-22T06:38:36.58" personId="{1C6FA154-1459-412A-A1C5-3ABB525A2142}" id="{35BFFFCF-5923-481F-B52D-7DFF6F9D0CAF}">
    <text>Bù 2 tiếng OT tháng trước</text>
  </threadedComment>
  <threadedComment ref="O49" dT="2026-06-22T06:38:23.11" personId="{1C6FA154-1459-412A-A1C5-3ABB525A2142}" id="{A9D8FA1D-E384-4C63-A2C4-A18108E5AC6A}">
    <text>Bù 2 tiếng OT tháng trước</text>
  </threadedComment>
  <threadedComment ref="J60" dT="2026-06-11T23:52:33.37" personId="{1C6FA154-1459-412A-A1C5-3ABB525A2142}" id="{D2B45D92-A0D6-4E37-A0D7-CF74E0510234}">
    <text>Bù ngày 17 tháng 5</text>
  </threadedComment>
  <threadedComment ref="Q71" dT="2026-06-22T00:06:28.44" personId="{1C6FA154-1459-412A-A1C5-3ABB525A2142}" id="{8AD36E2D-9790-4ABA-83B6-BF8AA32AAF7D}">
    <text>Bù 6 tiếng OT tháng trước</text>
  </threadedComment>
  <threadedComment ref="J82" dT="2026-06-22T00:08:32.36" personId="{1C6FA154-1459-412A-A1C5-3ABB525A2142}" id="{2BAB7E69-748A-44EB-AEB1-C42D3E4F7D61}">
    <text>Bù 4 tiếng tăng ca tháng trước</text>
  </threadedComment>
  <threadedComment ref="H89" dT="2026-06-21T23:59:07.79" personId="{1C6FA154-1459-412A-A1C5-3ABB525A2142}" id="{45AC2A71-C0AD-40FD-8458-C590F546CE66}">
    <text>Bù 6 tiếng OT tháng trước</text>
  </threadedComment>
  <threadedComment ref="H90" dT="2026-06-23T06:20:55.03" personId="{1C6FA154-1459-412A-A1C5-3ABB525A2142}" id="{A2710C31-C2C0-46D7-943F-87DE7B685D20}">
    <text>Bù 4 tiếng thiếu tháng trước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7945C-55A8-4576-A88F-1C03CB6B5A5C}">
  <sheetPr filterMode="1">
    <pageSetUpPr fitToPage="1"/>
  </sheetPr>
  <dimension ref="A2:AT127"/>
  <sheetViews>
    <sheetView zoomScale="87" zoomScaleNormal="87" workbookViewId="0">
      <pane xSplit="7" ySplit="7" topLeftCell="AA44" activePane="bottomRight" state="frozen"/>
      <selection pane="topRight" activeCell="H1" sqref="H1"/>
      <selection pane="bottomLeft" activeCell="A8" sqref="A8"/>
      <selection pane="bottomRight" activeCell="AL2" sqref="AL2"/>
    </sheetView>
  </sheetViews>
  <sheetFormatPr defaultRowHeight="15"/>
  <cols>
    <col min="1" max="1" width="6.28515625" customWidth="1"/>
    <col min="2" max="2" width="7.5703125" customWidth="1"/>
    <col min="3" max="3" width="0" hidden="1" customWidth="1"/>
    <col min="4" max="4" width="20.5703125" customWidth="1"/>
    <col min="5" max="5" width="14.42578125" customWidth="1"/>
    <col min="6" max="6" width="23.5703125" customWidth="1"/>
    <col min="7" max="7" width="10.42578125" customWidth="1"/>
    <col min="8" max="39" width="7.7109375" customWidth="1"/>
    <col min="40" max="40" width="6.85546875" customWidth="1"/>
    <col min="41" max="41" width="6.42578125" customWidth="1"/>
    <col min="42" max="42" width="7.140625" customWidth="1"/>
    <col min="43" max="44" width="6.85546875" customWidth="1"/>
    <col min="45" max="45" width="57.7109375" customWidth="1"/>
    <col min="47" max="47" width="12.7109375" customWidth="1"/>
  </cols>
  <sheetData>
    <row r="2" spans="1:46" ht="20.100000000000001" customHeight="1">
      <c r="F2" s="22" t="s">
        <v>374</v>
      </c>
      <c r="G2" s="22"/>
    </row>
    <row r="3" spans="1:46" ht="14.45" customHeight="1">
      <c r="F3" s="22"/>
      <c r="G3" s="22"/>
    </row>
    <row r="4" spans="1:46" ht="18.75">
      <c r="C4" s="4"/>
      <c r="D4" s="13"/>
      <c r="E4" s="13"/>
      <c r="F4" s="13"/>
      <c r="G4" s="13"/>
    </row>
    <row r="5" spans="1:46" ht="14.45" customHeight="1">
      <c r="A5" s="114" t="s">
        <v>104</v>
      </c>
      <c r="B5" s="106" t="s">
        <v>103</v>
      </c>
      <c r="C5" s="106" t="s">
        <v>0</v>
      </c>
      <c r="D5" s="115" t="s">
        <v>102</v>
      </c>
      <c r="E5" s="116" t="s">
        <v>101</v>
      </c>
      <c r="F5" s="106" t="s">
        <v>100</v>
      </c>
      <c r="G5" s="114" t="s">
        <v>99</v>
      </c>
      <c r="H5" s="7">
        <v>46163</v>
      </c>
      <c r="I5" s="7">
        <v>46164</v>
      </c>
      <c r="J5" s="7">
        <v>46165</v>
      </c>
      <c r="K5" s="7">
        <v>46166</v>
      </c>
      <c r="L5" s="7">
        <v>46167</v>
      </c>
      <c r="M5" s="7">
        <v>46168</v>
      </c>
      <c r="N5" s="7">
        <v>46169</v>
      </c>
      <c r="O5" s="7">
        <v>46170</v>
      </c>
      <c r="P5" s="7">
        <v>46171</v>
      </c>
      <c r="Q5" s="7">
        <v>46172</v>
      </c>
      <c r="R5" s="7">
        <v>46173</v>
      </c>
      <c r="S5" s="7">
        <v>46174</v>
      </c>
      <c r="T5" s="7">
        <v>46175</v>
      </c>
      <c r="U5" s="7">
        <v>46176</v>
      </c>
      <c r="V5" s="7">
        <v>46177</v>
      </c>
      <c r="W5" s="7">
        <v>46178</v>
      </c>
      <c r="X5" s="7">
        <v>46179</v>
      </c>
      <c r="Y5" s="7">
        <v>46180</v>
      </c>
      <c r="Z5" s="7">
        <v>46181</v>
      </c>
      <c r="AA5" s="7">
        <v>46182</v>
      </c>
      <c r="AB5" s="7">
        <v>46183</v>
      </c>
      <c r="AC5" s="7">
        <v>46184</v>
      </c>
      <c r="AD5" s="7">
        <v>46185</v>
      </c>
      <c r="AE5" s="7">
        <v>46186</v>
      </c>
      <c r="AF5" s="7">
        <v>46187</v>
      </c>
      <c r="AG5" s="7">
        <v>46188</v>
      </c>
      <c r="AH5" s="7">
        <v>46189</v>
      </c>
      <c r="AI5" s="7">
        <v>46190</v>
      </c>
      <c r="AJ5" s="7">
        <v>46191</v>
      </c>
      <c r="AK5" s="7">
        <v>46192</v>
      </c>
      <c r="AL5" s="7">
        <v>46193</v>
      </c>
      <c r="AM5" s="113" t="s">
        <v>161</v>
      </c>
      <c r="AN5" s="113" t="s">
        <v>162</v>
      </c>
      <c r="AO5" s="113" t="s">
        <v>160</v>
      </c>
      <c r="AP5" s="107" t="s">
        <v>163</v>
      </c>
      <c r="AQ5" s="106" t="s">
        <v>120</v>
      </c>
      <c r="AR5" s="106" t="s">
        <v>121</v>
      </c>
      <c r="AS5" s="106" t="s">
        <v>122</v>
      </c>
    </row>
    <row r="6" spans="1:46" ht="14.45" customHeight="1">
      <c r="A6" s="114"/>
      <c r="B6" s="106"/>
      <c r="C6" s="106"/>
      <c r="D6" s="115"/>
      <c r="E6" s="117"/>
      <c r="F6" s="106"/>
      <c r="G6" s="114"/>
      <c r="H6" s="6" t="s">
        <v>2</v>
      </c>
      <c r="I6" s="6" t="s">
        <v>3</v>
      </c>
      <c r="J6" s="6" t="s">
        <v>4</v>
      </c>
      <c r="K6" s="6" t="s">
        <v>5</v>
      </c>
      <c r="L6" s="6" t="s">
        <v>6</v>
      </c>
      <c r="M6" s="6" t="s">
        <v>7</v>
      </c>
      <c r="N6" s="6" t="s">
        <v>1</v>
      </c>
      <c r="O6" s="6" t="s">
        <v>2</v>
      </c>
      <c r="P6" s="6" t="s">
        <v>3</v>
      </c>
      <c r="Q6" s="6" t="s">
        <v>4</v>
      </c>
      <c r="R6" s="6" t="s">
        <v>5</v>
      </c>
      <c r="S6" s="6" t="s">
        <v>6</v>
      </c>
      <c r="T6" s="6" t="s">
        <v>7</v>
      </c>
      <c r="U6" s="6" t="s">
        <v>1</v>
      </c>
      <c r="V6" s="6" t="s">
        <v>2</v>
      </c>
      <c r="W6" s="6" t="s">
        <v>3</v>
      </c>
      <c r="X6" s="6" t="s">
        <v>4</v>
      </c>
      <c r="Y6" s="6" t="s">
        <v>5</v>
      </c>
      <c r="Z6" s="6" t="s">
        <v>6</v>
      </c>
      <c r="AA6" s="6" t="s">
        <v>7</v>
      </c>
      <c r="AB6" s="6" t="s">
        <v>1</v>
      </c>
      <c r="AC6" s="6" t="s">
        <v>2</v>
      </c>
      <c r="AD6" s="6" t="s">
        <v>3</v>
      </c>
      <c r="AE6" s="6" t="s">
        <v>4</v>
      </c>
      <c r="AF6" s="6" t="s">
        <v>5</v>
      </c>
      <c r="AG6" s="6" t="s">
        <v>6</v>
      </c>
      <c r="AH6" s="6" t="s">
        <v>7</v>
      </c>
      <c r="AI6" s="6" t="s">
        <v>1</v>
      </c>
      <c r="AJ6" s="6" t="s">
        <v>2</v>
      </c>
      <c r="AK6" s="6" t="s">
        <v>3</v>
      </c>
      <c r="AL6" s="6" t="s">
        <v>4</v>
      </c>
      <c r="AM6" s="113"/>
      <c r="AN6" s="113"/>
      <c r="AO6" s="113"/>
      <c r="AP6" s="108"/>
      <c r="AQ6" s="106"/>
      <c r="AR6" s="106"/>
      <c r="AS6" s="106"/>
    </row>
    <row r="7" spans="1:46" ht="92.45" customHeight="1">
      <c r="A7" s="114"/>
      <c r="B7" s="106"/>
      <c r="C7" s="106"/>
      <c r="D7" s="115"/>
      <c r="E7" s="118"/>
      <c r="F7" s="106"/>
      <c r="G7" s="114"/>
      <c r="H7" s="5" t="s">
        <v>9</v>
      </c>
      <c r="I7" s="5" t="s">
        <v>10</v>
      </c>
      <c r="J7" s="5" t="s">
        <v>11</v>
      </c>
      <c r="K7" s="5" t="s">
        <v>12</v>
      </c>
      <c r="L7" s="5" t="s">
        <v>13</v>
      </c>
      <c r="M7" s="5" t="s">
        <v>14</v>
      </c>
      <c r="N7" s="5" t="s">
        <v>8</v>
      </c>
      <c r="O7" s="5" t="s">
        <v>9</v>
      </c>
      <c r="P7" s="5" t="s">
        <v>10</v>
      </c>
      <c r="Q7" s="5" t="s">
        <v>11</v>
      </c>
      <c r="R7" s="5" t="s">
        <v>12</v>
      </c>
      <c r="S7" s="5" t="s">
        <v>13</v>
      </c>
      <c r="T7" s="5" t="s">
        <v>14</v>
      </c>
      <c r="U7" s="5" t="s">
        <v>8</v>
      </c>
      <c r="V7" s="5" t="s">
        <v>9</v>
      </c>
      <c r="W7" s="5" t="s">
        <v>10</v>
      </c>
      <c r="X7" s="5" t="s">
        <v>11</v>
      </c>
      <c r="Y7" s="5" t="s">
        <v>12</v>
      </c>
      <c r="Z7" s="5" t="s">
        <v>13</v>
      </c>
      <c r="AA7" s="5" t="s">
        <v>14</v>
      </c>
      <c r="AB7" s="5" t="s">
        <v>8</v>
      </c>
      <c r="AC7" s="5" t="s">
        <v>9</v>
      </c>
      <c r="AD7" s="5" t="s">
        <v>10</v>
      </c>
      <c r="AE7" s="5" t="s">
        <v>11</v>
      </c>
      <c r="AF7" s="5" t="s">
        <v>12</v>
      </c>
      <c r="AG7" s="5" t="s">
        <v>13</v>
      </c>
      <c r="AH7" s="5" t="s">
        <v>14</v>
      </c>
      <c r="AI7" s="5" t="s">
        <v>8</v>
      </c>
      <c r="AJ7" s="5" t="s">
        <v>9</v>
      </c>
      <c r="AK7" s="5" t="s">
        <v>10</v>
      </c>
      <c r="AL7" s="5" t="s">
        <v>11</v>
      </c>
      <c r="AM7" s="113"/>
      <c r="AN7" s="113"/>
      <c r="AO7" s="113"/>
      <c r="AP7" s="109"/>
      <c r="AQ7" s="106"/>
      <c r="AR7" s="106"/>
      <c r="AS7" s="106"/>
    </row>
    <row r="8" spans="1:46" ht="29.1" hidden="1" customHeight="1">
      <c r="A8" s="2">
        <v>1</v>
      </c>
      <c r="B8" s="2" t="s">
        <v>55</v>
      </c>
      <c r="C8" s="3" t="s">
        <v>16</v>
      </c>
      <c r="D8" s="3" t="s">
        <v>17</v>
      </c>
      <c r="E8" s="3" t="s">
        <v>73</v>
      </c>
      <c r="F8" s="3" t="s">
        <v>15</v>
      </c>
      <c r="G8" s="25" t="s">
        <v>203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35">
        <f>SUM(H8:AL8)-AN8-AO8</f>
        <v>0</v>
      </c>
      <c r="AN8" s="15"/>
      <c r="AO8" s="15">
        <f>J8+K8+Q8+R8+X8+Y8+AE8+AL8</f>
        <v>0</v>
      </c>
      <c r="AP8" s="15"/>
      <c r="AQ8" s="41">
        <v>6</v>
      </c>
      <c r="AR8" s="41">
        <v>2026</v>
      </c>
      <c r="AS8" s="10"/>
      <c r="AT8" s="20"/>
    </row>
    <row r="9" spans="1:46" ht="29.1" hidden="1" customHeight="1">
      <c r="A9" s="2">
        <v>2</v>
      </c>
      <c r="B9" s="2" t="s">
        <v>56</v>
      </c>
      <c r="C9" s="3" t="s">
        <v>20</v>
      </c>
      <c r="D9" s="3" t="s">
        <v>21</v>
      </c>
      <c r="E9" s="3" t="s">
        <v>74</v>
      </c>
      <c r="F9" s="3" t="s">
        <v>19</v>
      </c>
      <c r="G9" s="25" t="s">
        <v>225</v>
      </c>
      <c r="H9" s="1"/>
      <c r="I9" s="1"/>
      <c r="J9" s="1">
        <v>8.5</v>
      </c>
      <c r="K9" s="1"/>
      <c r="L9" s="1"/>
      <c r="M9" s="1"/>
      <c r="N9" s="1"/>
      <c r="O9" s="1"/>
      <c r="P9" s="1"/>
      <c r="Q9" s="1">
        <v>8.5</v>
      </c>
      <c r="R9" s="1"/>
      <c r="S9" s="1"/>
      <c r="T9" s="1"/>
      <c r="U9" s="1"/>
      <c r="V9" s="1"/>
      <c r="W9" s="1"/>
      <c r="X9" s="1">
        <v>8.5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35">
        <f t="shared" ref="AM9:AM72" si="0">SUM(H9:AL9)-AN9-AO9</f>
        <v>0</v>
      </c>
      <c r="AN9" s="15"/>
      <c r="AO9" s="15">
        <f t="shared" ref="AO9:AO13" si="1">J9+K9+Q9+R9+X9+Y9+AE9+AL9</f>
        <v>25.5</v>
      </c>
      <c r="AP9" s="15"/>
      <c r="AQ9" s="41">
        <v>6</v>
      </c>
      <c r="AR9" s="41">
        <v>2026</v>
      </c>
      <c r="AS9" s="10"/>
      <c r="AT9" s="20"/>
    </row>
    <row r="10" spans="1:46" ht="29.1" hidden="1" customHeight="1">
      <c r="A10" s="2">
        <v>3</v>
      </c>
      <c r="B10" s="2" t="s">
        <v>57</v>
      </c>
      <c r="C10" s="3" t="s">
        <v>23</v>
      </c>
      <c r="D10" s="3" t="s">
        <v>24</v>
      </c>
      <c r="E10" s="3" t="s">
        <v>75</v>
      </c>
      <c r="F10" s="3" t="s">
        <v>22</v>
      </c>
      <c r="G10" s="25" t="s">
        <v>25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35">
        <f t="shared" si="0"/>
        <v>0</v>
      </c>
      <c r="AN10" s="15"/>
      <c r="AO10" s="15">
        <f t="shared" si="1"/>
        <v>0</v>
      </c>
      <c r="AP10" s="15"/>
      <c r="AQ10" s="41">
        <v>6</v>
      </c>
      <c r="AR10" s="41">
        <v>2026</v>
      </c>
      <c r="AS10" s="10"/>
      <c r="AT10" s="20"/>
    </row>
    <row r="11" spans="1:46" ht="29.1" hidden="1" customHeight="1">
      <c r="A11" s="2">
        <v>4</v>
      </c>
      <c r="B11" s="2" t="s">
        <v>58</v>
      </c>
      <c r="C11" s="3"/>
      <c r="D11" s="3" t="s">
        <v>27</v>
      </c>
      <c r="E11" s="3" t="s">
        <v>76</v>
      </c>
      <c r="F11" s="3" t="s">
        <v>28</v>
      </c>
      <c r="G11" s="25" t="s">
        <v>29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35">
        <f t="shared" si="0"/>
        <v>0</v>
      </c>
      <c r="AN11" s="15"/>
      <c r="AO11" s="15">
        <f t="shared" si="1"/>
        <v>0</v>
      </c>
      <c r="AP11" s="15"/>
      <c r="AQ11" s="41">
        <v>6</v>
      </c>
      <c r="AR11" s="41">
        <v>2026</v>
      </c>
      <c r="AS11" s="10"/>
      <c r="AT11" s="20"/>
    </row>
    <row r="12" spans="1:46" ht="29.1" hidden="1" customHeight="1">
      <c r="A12" s="2">
        <v>6</v>
      </c>
      <c r="B12" s="2" t="s">
        <v>59</v>
      </c>
      <c r="C12" s="3">
        <v>1014338</v>
      </c>
      <c r="D12" s="3" t="s">
        <v>33</v>
      </c>
      <c r="E12" s="3" t="s">
        <v>73</v>
      </c>
      <c r="F12" s="3" t="s">
        <v>34</v>
      </c>
      <c r="G12" s="25" t="s">
        <v>32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35">
        <f t="shared" si="0"/>
        <v>0</v>
      </c>
      <c r="AN12" s="15"/>
      <c r="AO12" s="15">
        <f t="shared" si="1"/>
        <v>0</v>
      </c>
      <c r="AP12" s="15"/>
      <c r="AQ12" s="41">
        <v>6</v>
      </c>
      <c r="AR12" s="41">
        <v>2026</v>
      </c>
      <c r="AS12" s="10"/>
      <c r="AT12" s="20"/>
    </row>
    <row r="13" spans="1:46" ht="29.1" hidden="1" customHeight="1">
      <c r="A13" s="2">
        <v>7</v>
      </c>
      <c r="B13" s="2" t="s">
        <v>60</v>
      </c>
      <c r="C13" s="3">
        <v>1014359</v>
      </c>
      <c r="D13" s="3" t="s">
        <v>36</v>
      </c>
      <c r="E13" s="3" t="s">
        <v>78</v>
      </c>
      <c r="F13" s="3" t="s">
        <v>37</v>
      </c>
      <c r="G13" s="25" t="s">
        <v>35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35">
        <f t="shared" si="0"/>
        <v>0</v>
      </c>
      <c r="AN13" s="15"/>
      <c r="AO13" s="15">
        <f t="shared" si="1"/>
        <v>0</v>
      </c>
      <c r="AP13" s="15"/>
      <c r="AQ13" s="41">
        <v>6</v>
      </c>
      <c r="AR13" s="41">
        <v>2026</v>
      </c>
      <c r="AS13" s="10"/>
      <c r="AT13" s="20"/>
    </row>
    <row r="14" spans="1:46" ht="29.1" hidden="1" customHeight="1">
      <c r="A14" s="2">
        <v>8</v>
      </c>
      <c r="B14" s="2" t="s">
        <v>61</v>
      </c>
      <c r="C14" s="3"/>
      <c r="D14" s="3" t="s">
        <v>38</v>
      </c>
      <c r="E14" s="3" t="s">
        <v>95</v>
      </c>
      <c r="F14" s="3" t="s">
        <v>43</v>
      </c>
      <c r="G14" s="25" t="s">
        <v>51</v>
      </c>
      <c r="H14" s="1">
        <v>2</v>
      </c>
      <c r="I14" s="1">
        <v>4</v>
      </c>
      <c r="J14" s="1">
        <v>2</v>
      </c>
      <c r="K14" s="1">
        <v>8</v>
      </c>
      <c r="L14" s="1">
        <v>1</v>
      </c>
      <c r="M14" s="1">
        <v>2</v>
      </c>
      <c r="N14" s="1">
        <v>2</v>
      </c>
      <c r="O14" s="1">
        <v>4</v>
      </c>
      <c r="P14" s="1">
        <v>7</v>
      </c>
      <c r="Q14" s="1">
        <v>2</v>
      </c>
      <c r="R14" s="1"/>
      <c r="S14" s="1"/>
      <c r="T14" s="1">
        <v>2</v>
      </c>
      <c r="U14" s="1">
        <v>4</v>
      </c>
      <c r="V14" s="1">
        <v>2</v>
      </c>
      <c r="W14" s="1">
        <v>2</v>
      </c>
      <c r="X14" s="1">
        <v>4</v>
      </c>
      <c r="Y14" s="1"/>
      <c r="Z14" s="1">
        <v>2</v>
      </c>
      <c r="AA14" s="1">
        <v>2</v>
      </c>
      <c r="AB14" s="1">
        <v>2</v>
      </c>
      <c r="AC14" s="1">
        <v>2</v>
      </c>
      <c r="AD14" s="1">
        <v>2</v>
      </c>
      <c r="AE14" s="1">
        <v>2</v>
      </c>
      <c r="AF14" s="1">
        <v>8</v>
      </c>
      <c r="AG14" s="1">
        <v>2</v>
      </c>
      <c r="AH14" s="1">
        <v>2</v>
      </c>
      <c r="AI14" s="1">
        <v>2</v>
      </c>
      <c r="AJ14" s="1">
        <v>4</v>
      </c>
      <c r="AK14" s="1">
        <v>2</v>
      </c>
      <c r="AL14" s="1">
        <v>2</v>
      </c>
      <c r="AM14" s="35">
        <f t="shared" si="0"/>
        <v>65</v>
      </c>
      <c r="AN14" s="15">
        <v>1</v>
      </c>
      <c r="AO14" s="15">
        <f>K14+R14+Y14+AF14</f>
        <v>16</v>
      </c>
      <c r="AP14" s="15"/>
      <c r="AQ14" s="41">
        <v>6</v>
      </c>
      <c r="AR14" s="41">
        <v>2026</v>
      </c>
      <c r="AS14" s="10"/>
      <c r="AT14" s="20"/>
    </row>
    <row r="15" spans="1:46" ht="29.1" hidden="1" customHeight="1">
      <c r="A15" s="2">
        <v>9</v>
      </c>
      <c r="B15" s="2" t="s">
        <v>62</v>
      </c>
      <c r="C15" s="3"/>
      <c r="D15" s="3" t="s">
        <v>39</v>
      </c>
      <c r="E15" s="3" t="s">
        <v>78</v>
      </c>
      <c r="F15" s="3" t="s">
        <v>44</v>
      </c>
      <c r="G15" s="25" t="s">
        <v>51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35">
        <f t="shared" si="0"/>
        <v>0</v>
      </c>
      <c r="AN15" s="15"/>
      <c r="AO15" s="15">
        <f t="shared" ref="AO15:AO78" si="2">K15+R15+Y15+AF15</f>
        <v>0</v>
      </c>
      <c r="AP15" s="15"/>
      <c r="AQ15" s="41">
        <v>6</v>
      </c>
      <c r="AR15" s="41">
        <v>2026</v>
      </c>
      <c r="AS15" s="10"/>
      <c r="AT15" s="20"/>
    </row>
    <row r="16" spans="1:46" ht="29.1" hidden="1" customHeight="1">
      <c r="A16" s="2">
        <v>10</v>
      </c>
      <c r="B16" s="2" t="s">
        <v>63</v>
      </c>
      <c r="C16" s="3"/>
      <c r="D16" s="3" t="s">
        <v>40</v>
      </c>
      <c r="E16" s="3" t="s">
        <v>79</v>
      </c>
      <c r="F16" s="3" t="s">
        <v>45</v>
      </c>
      <c r="G16" s="25" t="s">
        <v>52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35">
        <f t="shared" si="0"/>
        <v>0</v>
      </c>
      <c r="AN16" s="15"/>
      <c r="AO16" s="15">
        <f t="shared" si="2"/>
        <v>0</v>
      </c>
      <c r="AP16" s="15"/>
      <c r="AQ16" s="41">
        <v>6</v>
      </c>
      <c r="AR16" s="41">
        <v>2026</v>
      </c>
      <c r="AS16" s="10"/>
      <c r="AT16" s="20"/>
    </row>
    <row r="17" spans="1:46" ht="29.1" hidden="1" customHeight="1">
      <c r="A17" s="2">
        <v>11</v>
      </c>
      <c r="B17" s="2" t="s">
        <v>64</v>
      </c>
      <c r="C17" s="16"/>
      <c r="D17" s="16" t="s">
        <v>41</v>
      </c>
      <c r="E17" s="16" t="s">
        <v>77</v>
      </c>
      <c r="F17" s="16" t="s">
        <v>46</v>
      </c>
      <c r="G17" s="17" t="s">
        <v>52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35">
        <f t="shared" si="0"/>
        <v>0</v>
      </c>
      <c r="AN17" s="15"/>
      <c r="AO17" s="15">
        <f t="shared" si="2"/>
        <v>0</v>
      </c>
      <c r="AP17" s="15"/>
      <c r="AQ17" s="41">
        <v>6</v>
      </c>
      <c r="AR17" s="41">
        <v>2026</v>
      </c>
      <c r="AS17" s="10"/>
      <c r="AT17" s="20"/>
    </row>
    <row r="18" spans="1:46" ht="29.1" hidden="1" customHeight="1">
      <c r="A18" s="2">
        <v>12</v>
      </c>
      <c r="B18" s="2" t="s">
        <v>65</v>
      </c>
      <c r="C18" s="3"/>
      <c r="D18" s="3" t="s">
        <v>42</v>
      </c>
      <c r="E18" s="3" t="s">
        <v>74</v>
      </c>
      <c r="F18" s="3" t="s">
        <v>47</v>
      </c>
      <c r="G18" s="25" t="s">
        <v>53</v>
      </c>
      <c r="H18" s="1"/>
      <c r="I18" s="1"/>
      <c r="J18" s="1"/>
      <c r="K18" s="1"/>
      <c r="L18" s="1">
        <v>4</v>
      </c>
      <c r="M18" s="1">
        <v>4</v>
      </c>
      <c r="N18" s="1">
        <v>4</v>
      </c>
      <c r="O18" s="1">
        <v>4</v>
      </c>
      <c r="P18" s="1">
        <v>4</v>
      </c>
      <c r="Q18" s="1"/>
      <c r="R18" s="1"/>
      <c r="S18" s="1">
        <v>4</v>
      </c>
      <c r="T18" s="1"/>
      <c r="U18" s="1"/>
      <c r="V18" s="1"/>
      <c r="W18" s="1"/>
      <c r="X18" s="1">
        <v>1</v>
      </c>
      <c r="Y18" s="1"/>
      <c r="Z18" s="1"/>
      <c r="AA18" s="1">
        <v>3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35">
        <f t="shared" si="0"/>
        <v>28</v>
      </c>
      <c r="AN18" s="15"/>
      <c r="AO18" s="15">
        <f t="shared" si="2"/>
        <v>0</v>
      </c>
      <c r="AP18" s="15"/>
      <c r="AQ18" s="41">
        <v>6</v>
      </c>
      <c r="AR18" s="41">
        <v>2026</v>
      </c>
      <c r="AS18" s="10"/>
      <c r="AT18" s="20"/>
    </row>
    <row r="19" spans="1:46" ht="29.1" hidden="1" customHeight="1">
      <c r="A19" s="2">
        <v>13</v>
      </c>
      <c r="B19" s="2" t="s">
        <v>66</v>
      </c>
      <c r="C19" s="3"/>
      <c r="D19" s="3" t="s">
        <v>70</v>
      </c>
      <c r="E19" s="3" t="s">
        <v>95</v>
      </c>
      <c r="F19" s="3" t="s">
        <v>50</v>
      </c>
      <c r="G19" s="25" t="s">
        <v>54</v>
      </c>
      <c r="H19" s="1"/>
      <c r="I19" s="1">
        <v>4</v>
      </c>
      <c r="J19" s="1">
        <v>4</v>
      </c>
      <c r="K19" s="1">
        <v>8</v>
      </c>
      <c r="L19" s="1">
        <v>2</v>
      </c>
      <c r="M19" s="1">
        <v>2</v>
      </c>
      <c r="N19" s="1">
        <v>2</v>
      </c>
      <c r="O19" s="1">
        <v>4</v>
      </c>
      <c r="P19" s="1">
        <v>2</v>
      </c>
      <c r="Q19" s="1">
        <v>2</v>
      </c>
      <c r="R19" s="1">
        <v>8</v>
      </c>
      <c r="S19" s="1">
        <v>2</v>
      </c>
      <c r="T19" s="1">
        <v>4</v>
      </c>
      <c r="U19" s="1">
        <v>4</v>
      </c>
      <c r="V19" s="1">
        <v>4</v>
      </c>
      <c r="W19" s="1">
        <v>4</v>
      </c>
      <c r="X19" s="1"/>
      <c r="Y19" s="1"/>
      <c r="Z19" s="1">
        <v>2</v>
      </c>
      <c r="AA19" s="1">
        <v>2</v>
      </c>
      <c r="AB19" s="1"/>
      <c r="AC19" s="1"/>
      <c r="AD19" s="1"/>
      <c r="AE19" s="1">
        <v>2</v>
      </c>
      <c r="AF19" s="1"/>
      <c r="AG19" s="1">
        <v>2</v>
      </c>
      <c r="AH19" s="1">
        <v>2</v>
      </c>
      <c r="AI19" s="1">
        <v>2</v>
      </c>
      <c r="AJ19" s="1"/>
      <c r="AK19" s="1">
        <v>2</v>
      </c>
      <c r="AL19" s="1"/>
      <c r="AM19" s="35">
        <f t="shared" si="0"/>
        <v>54</v>
      </c>
      <c r="AN19" s="15"/>
      <c r="AO19" s="15">
        <f t="shared" si="2"/>
        <v>16</v>
      </c>
      <c r="AP19" s="15"/>
      <c r="AQ19" s="41">
        <v>6</v>
      </c>
      <c r="AR19" s="41">
        <v>2026</v>
      </c>
      <c r="AS19" s="10"/>
      <c r="AT19" s="20"/>
    </row>
    <row r="20" spans="1:46" ht="29.1" hidden="1" customHeight="1">
      <c r="A20" s="2">
        <v>14</v>
      </c>
      <c r="B20" s="2" t="s">
        <v>67</v>
      </c>
      <c r="C20" s="3"/>
      <c r="D20" s="3" t="s">
        <v>72</v>
      </c>
      <c r="E20" s="3" t="s">
        <v>74</v>
      </c>
      <c r="F20" s="3" t="s">
        <v>48</v>
      </c>
      <c r="G20" s="25" t="s">
        <v>54</v>
      </c>
      <c r="H20" s="1">
        <v>4</v>
      </c>
      <c r="I20" s="1">
        <v>4</v>
      </c>
      <c r="J20" s="1">
        <v>4</v>
      </c>
      <c r="K20" s="1"/>
      <c r="L20" s="1"/>
      <c r="M20" s="1">
        <v>4</v>
      </c>
      <c r="N20" s="1"/>
      <c r="O20" s="1">
        <v>4</v>
      </c>
      <c r="P20" s="1"/>
      <c r="Q20" s="1"/>
      <c r="R20" s="1"/>
      <c r="S20" s="1">
        <v>4</v>
      </c>
      <c r="T20" s="1">
        <v>4</v>
      </c>
      <c r="U20" s="1">
        <v>4</v>
      </c>
      <c r="V20" s="1"/>
      <c r="W20" s="1">
        <v>4</v>
      </c>
      <c r="X20" s="1"/>
      <c r="Y20" s="1"/>
      <c r="Z20" s="1">
        <v>2</v>
      </c>
      <c r="AA20" s="1">
        <v>4</v>
      </c>
      <c r="AB20" s="1"/>
      <c r="AC20" s="1">
        <v>2</v>
      </c>
      <c r="AD20" s="1">
        <v>4</v>
      </c>
      <c r="AE20" s="1"/>
      <c r="AF20" s="1"/>
      <c r="AG20" s="1"/>
      <c r="AH20" s="1">
        <v>4</v>
      </c>
      <c r="AI20" s="1">
        <v>4</v>
      </c>
      <c r="AJ20" s="1"/>
      <c r="AK20" s="1"/>
      <c r="AL20" s="1">
        <v>4</v>
      </c>
      <c r="AM20" s="35">
        <f t="shared" si="0"/>
        <v>60</v>
      </c>
      <c r="AN20" s="15"/>
      <c r="AO20" s="15">
        <f t="shared" si="2"/>
        <v>0</v>
      </c>
      <c r="AP20" s="15"/>
      <c r="AQ20" s="41">
        <v>6</v>
      </c>
      <c r="AR20" s="41">
        <v>2026</v>
      </c>
      <c r="AS20" s="10"/>
      <c r="AT20" s="20"/>
    </row>
    <row r="21" spans="1:46" ht="29.1" hidden="1" customHeight="1">
      <c r="A21" s="2">
        <v>15</v>
      </c>
      <c r="B21" s="2" t="s">
        <v>69</v>
      </c>
      <c r="C21" s="3"/>
      <c r="D21" s="3" t="s">
        <v>83</v>
      </c>
      <c r="E21" s="3" t="s">
        <v>78</v>
      </c>
      <c r="F21" s="3" t="s">
        <v>44</v>
      </c>
      <c r="G21" s="25" t="s">
        <v>84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35">
        <f t="shared" si="0"/>
        <v>0</v>
      </c>
      <c r="AN21" s="15"/>
      <c r="AO21" s="15">
        <f t="shared" si="2"/>
        <v>0</v>
      </c>
      <c r="AP21" s="15"/>
      <c r="AQ21" s="41">
        <v>6</v>
      </c>
      <c r="AR21" s="41">
        <v>2026</v>
      </c>
      <c r="AS21" s="10"/>
      <c r="AT21" s="20"/>
    </row>
    <row r="22" spans="1:46" ht="29.1" hidden="1" customHeight="1">
      <c r="A22" s="2">
        <v>16</v>
      </c>
      <c r="B22" s="2" t="s">
        <v>71</v>
      </c>
      <c r="C22" s="3"/>
      <c r="D22" s="3" t="s">
        <v>300</v>
      </c>
      <c r="E22" s="3" t="s">
        <v>95</v>
      </c>
      <c r="F22" s="3" t="s">
        <v>105</v>
      </c>
      <c r="G22" s="25" t="s">
        <v>92</v>
      </c>
      <c r="H22" s="1"/>
      <c r="I22" s="1">
        <v>4</v>
      </c>
      <c r="J22" s="1">
        <v>4</v>
      </c>
      <c r="K22" s="1">
        <v>8</v>
      </c>
      <c r="L22" s="1">
        <v>4</v>
      </c>
      <c r="M22" s="1">
        <v>4</v>
      </c>
      <c r="N22" s="1">
        <v>4</v>
      </c>
      <c r="O22" s="1">
        <v>4</v>
      </c>
      <c r="P22" s="1">
        <v>4</v>
      </c>
      <c r="Q22" s="1">
        <v>4</v>
      </c>
      <c r="R22" s="1">
        <v>8</v>
      </c>
      <c r="S22" s="1">
        <v>4</v>
      </c>
      <c r="T22" s="1">
        <v>4</v>
      </c>
      <c r="U22" s="1">
        <v>4</v>
      </c>
      <c r="V22" s="1">
        <v>4</v>
      </c>
      <c r="W22" s="1">
        <v>4</v>
      </c>
      <c r="X22" s="1">
        <v>4</v>
      </c>
      <c r="Y22" s="1"/>
      <c r="Z22" s="1">
        <v>4</v>
      </c>
      <c r="AA22" s="1">
        <v>2</v>
      </c>
      <c r="AB22" s="1">
        <v>2</v>
      </c>
      <c r="AC22" s="1">
        <v>2</v>
      </c>
      <c r="AD22" s="1">
        <v>4</v>
      </c>
      <c r="AE22" s="1">
        <v>2</v>
      </c>
      <c r="AF22" s="1">
        <v>8</v>
      </c>
      <c r="AG22" s="1">
        <v>2</v>
      </c>
      <c r="AH22" s="1"/>
      <c r="AI22" s="1"/>
      <c r="AJ22" s="1">
        <v>4</v>
      </c>
      <c r="AK22" s="1"/>
      <c r="AL22" s="1"/>
      <c r="AM22" s="35">
        <f t="shared" si="0"/>
        <v>78</v>
      </c>
      <c r="AN22" s="15"/>
      <c r="AO22" s="15">
        <f t="shared" si="2"/>
        <v>24</v>
      </c>
      <c r="AP22" s="15"/>
      <c r="AQ22" s="41">
        <v>6</v>
      </c>
      <c r="AR22" s="41">
        <v>2026</v>
      </c>
      <c r="AS22" s="10"/>
      <c r="AT22" s="20"/>
    </row>
    <row r="23" spans="1:46" ht="29.1" hidden="1" customHeight="1">
      <c r="A23" s="2">
        <v>17</v>
      </c>
      <c r="B23" s="2" t="s">
        <v>80</v>
      </c>
      <c r="C23" s="16"/>
      <c r="D23" s="16" t="s">
        <v>118</v>
      </c>
      <c r="E23" s="16" t="s">
        <v>77</v>
      </c>
      <c r="F23" s="16" t="s">
        <v>93</v>
      </c>
      <c r="G23" s="17" t="s">
        <v>94</v>
      </c>
      <c r="H23" s="1">
        <v>4.5</v>
      </c>
      <c r="I23" s="1">
        <v>4.5</v>
      </c>
      <c r="J23" s="1">
        <v>5.5</v>
      </c>
      <c r="K23" s="1">
        <v>8</v>
      </c>
      <c r="L23" s="1"/>
      <c r="M23" s="1"/>
      <c r="N23" s="1"/>
      <c r="O23" s="1">
        <v>4</v>
      </c>
      <c r="P23" s="1">
        <v>7</v>
      </c>
      <c r="Q23" s="1">
        <v>4</v>
      </c>
      <c r="R23" s="1">
        <v>8</v>
      </c>
      <c r="S23" s="1">
        <v>4</v>
      </c>
      <c r="T23" s="1">
        <v>4.5</v>
      </c>
      <c r="U23" s="1">
        <v>4</v>
      </c>
      <c r="V23" s="1">
        <v>2.5</v>
      </c>
      <c r="W23" s="1">
        <v>3</v>
      </c>
      <c r="X23" s="1">
        <v>4.5</v>
      </c>
      <c r="Y23" s="1"/>
      <c r="Z23" s="1">
        <v>4</v>
      </c>
      <c r="AA23" s="1">
        <v>4</v>
      </c>
      <c r="AB23" s="1">
        <v>4</v>
      </c>
      <c r="AC23" s="1">
        <v>5</v>
      </c>
      <c r="AD23" s="1">
        <v>4</v>
      </c>
      <c r="AE23" s="1">
        <v>3</v>
      </c>
      <c r="AF23" s="1"/>
      <c r="AG23" s="1">
        <v>4.5</v>
      </c>
      <c r="AH23" s="1">
        <v>4</v>
      </c>
      <c r="AI23" s="1"/>
      <c r="AJ23" s="1">
        <v>4.5</v>
      </c>
      <c r="AK23" s="1">
        <v>4</v>
      </c>
      <c r="AL23" s="1">
        <v>2.5</v>
      </c>
      <c r="AM23" s="35">
        <f t="shared" si="0"/>
        <v>95.5</v>
      </c>
      <c r="AN23" s="15"/>
      <c r="AO23" s="15">
        <f t="shared" si="2"/>
        <v>16</v>
      </c>
      <c r="AP23" s="15"/>
      <c r="AQ23" s="41">
        <v>6</v>
      </c>
      <c r="AR23" s="41">
        <v>2026</v>
      </c>
      <c r="AS23" s="10"/>
      <c r="AT23" s="20"/>
    </row>
    <row r="24" spans="1:46" ht="29.1" hidden="1" customHeight="1">
      <c r="A24" s="2">
        <v>18</v>
      </c>
      <c r="B24" s="2" t="s">
        <v>81</v>
      </c>
      <c r="C24" s="3"/>
      <c r="D24" s="3" t="s">
        <v>86</v>
      </c>
      <c r="E24" s="3" t="s">
        <v>95</v>
      </c>
      <c r="F24" s="3" t="s">
        <v>96</v>
      </c>
      <c r="G24" s="25" t="s">
        <v>123</v>
      </c>
      <c r="H24" s="1">
        <v>4</v>
      </c>
      <c r="I24" s="1">
        <v>2</v>
      </c>
      <c r="J24" s="1">
        <v>2</v>
      </c>
      <c r="K24" s="1">
        <v>8</v>
      </c>
      <c r="L24" s="1">
        <v>2</v>
      </c>
      <c r="M24" s="1">
        <v>2</v>
      </c>
      <c r="N24" s="1">
        <v>4</v>
      </c>
      <c r="O24" s="1">
        <v>2</v>
      </c>
      <c r="P24" s="1">
        <v>2</v>
      </c>
      <c r="Q24" s="1">
        <v>2</v>
      </c>
      <c r="R24" s="1">
        <v>8</v>
      </c>
      <c r="S24" s="1">
        <v>2</v>
      </c>
      <c r="T24" s="1">
        <v>2</v>
      </c>
      <c r="U24" s="1">
        <v>2</v>
      </c>
      <c r="V24" s="1">
        <v>2</v>
      </c>
      <c r="W24" s="1">
        <v>2</v>
      </c>
      <c r="X24" s="1"/>
      <c r="Y24" s="1"/>
      <c r="Z24" s="1">
        <v>2</v>
      </c>
      <c r="AA24" s="1">
        <v>2</v>
      </c>
      <c r="AB24" s="1">
        <v>2</v>
      </c>
      <c r="AC24" s="1"/>
      <c r="AD24" s="1">
        <v>2</v>
      </c>
      <c r="AE24" s="1">
        <v>2</v>
      </c>
      <c r="AF24" s="1"/>
      <c r="AG24" s="1">
        <v>2</v>
      </c>
      <c r="AH24" s="1">
        <v>2</v>
      </c>
      <c r="AI24" s="1">
        <v>2</v>
      </c>
      <c r="AJ24" s="1"/>
      <c r="AK24" s="1">
        <v>2</v>
      </c>
      <c r="AL24" s="1"/>
      <c r="AM24" s="35">
        <f t="shared" si="0"/>
        <v>50</v>
      </c>
      <c r="AN24" s="15"/>
      <c r="AO24" s="15">
        <f t="shared" si="2"/>
        <v>16</v>
      </c>
      <c r="AP24" s="15"/>
      <c r="AQ24" s="41">
        <v>6</v>
      </c>
      <c r="AR24" s="41">
        <v>2026</v>
      </c>
      <c r="AS24" s="19"/>
      <c r="AT24" s="20"/>
    </row>
    <row r="25" spans="1:46" ht="29.1" hidden="1" customHeight="1">
      <c r="A25" s="2">
        <v>19</v>
      </c>
      <c r="B25" s="2" t="s">
        <v>85</v>
      </c>
      <c r="C25" s="3"/>
      <c r="D25" s="3" t="s">
        <v>87</v>
      </c>
      <c r="E25" s="3" t="s">
        <v>95</v>
      </c>
      <c r="F25" s="3" t="s">
        <v>97</v>
      </c>
      <c r="G25" s="25" t="s">
        <v>123</v>
      </c>
      <c r="H25" s="1">
        <v>2</v>
      </c>
      <c r="I25" s="1">
        <v>2</v>
      </c>
      <c r="J25" s="1">
        <v>0.5</v>
      </c>
      <c r="K25" s="1">
        <v>8</v>
      </c>
      <c r="L25" s="1">
        <v>4</v>
      </c>
      <c r="M25" s="1">
        <v>2</v>
      </c>
      <c r="N25" s="1">
        <v>2</v>
      </c>
      <c r="O25" s="1">
        <v>2</v>
      </c>
      <c r="P25" s="1">
        <v>4</v>
      </c>
      <c r="Q25" s="1">
        <v>4</v>
      </c>
      <c r="R25" s="1">
        <v>8</v>
      </c>
      <c r="S25" s="1"/>
      <c r="T25" s="1">
        <v>2</v>
      </c>
      <c r="U25" s="1">
        <v>2</v>
      </c>
      <c r="V25" s="1">
        <v>2</v>
      </c>
      <c r="W25" s="1">
        <v>4</v>
      </c>
      <c r="X25" s="1">
        <v>2</v>
      </c>
      <c r="Y25" s="1"/>
      <c r="Z25" s="1">
        <v>4</v>
      </c>
      <c r="AA25" s="1">
        <v>2</v>
      </c>
      <c r="AB25" s="1">
        <v>4</v>
      </c>
      <c r="AC25" s="1"/>
      <c r="AD25" s="1"/>
      <c r="AE25" s="1">
        <v>2</v>
      </c>
      <c r="AF25" s="1"/>
      <c r="AG25" s="1">
        <v>2</v>
      </c>
      <c r="AH25" s="1">
        <v>2</v>
      </c>
      <c r="AI25" s="1">
        <v>2</v>
      </c>
      <c r="AJ25" s="1"/>
      <c r="AK25" s="1">
        <v>2</v>
      </c>
      <c r="AL25" s="1"/>
      <c r="AM25" s="35">
        <f t="shared" si="0"/>
        <v>54.5</v>
      </c>
      <c r="AN25" s="15"/>
      <c r="AO25" s="15">
        <f t="shared" si="2"/>
        <v>16</v>
      </c>
      <c r="AP25" s="15"/>
      <c r="AQ25" s="41">
        <v>6</v>
      </c>
      <c r="AR25" s="41">
        <v>2026</v>
      </c>
      <c r="AS25" s="10"/>
      <c r="AT25" s="20"/>
    </row>
    <row r="26" spans="1:46" ht="29.1" hidden="1" customHeight="1">
      <c r="A26" s="2">
        <v>20</v>
      </c>
      <c r="B26" s="2" t="s">
        <v>89</v>
      </c>
      <c r="C26" s="3"/>
      <c r="D26" s="3" t="s">
        <v>88</v>
      </c>
      <c r="E26" s="3" t="s">
        <v>95</v>
      </c>
      <c r="F26" s="3" t="s">
        <v>105</v>
      </c>
      <c r="G26" s="25" t="s">
        <v>98</v>
      </c>
      <c r="H26" s="1">
        <v>2</v>
      </c>
      <c r="I26" s="1">
        <v>2</v>
      </c>
      <c r="J26" s="1">
        <v>2</v>
      </c>
      <c r="K26" s="1">
        <v>8</v>
      </c>
      <c r="L26" s="1">
        <v>2</v>
      </c>
      <c r="M26" s="1">
        <v>2</v>
      </c>
      <c r="N26" s="1">
        <v>2</v>
      </c>
      <c r="O26" s="1">
        <v>2</v>
      </c>
      <c r="P26" s="1">
        <v>2</v>
      </c>
      <c r="Q26" s="1"/>
      <c r="R26" s="1">
        <v>8</v>
      </c>
      <c r="S26" s="1">
        <v>2</v>
      </c>
      <c r="T26" s="1">
        <v>2</v>
      </c>
      <c r="U26" s="1">
        <v>2</v>
      </c>
      <c r="V26" s="1">
        <v>2</v>
      </c>
      <c r="W26" s="1"/>
      <c r="X26" s="1">
        <v>2</v>
      </c>
      <c r="Y26" s="1"/>
      <c r="Z26" s="1">
        <v>2</v>
      </c>
      <c r="AA26" s="1">
        <v>2</v>
      </c>
      <c r="AB26" s="1"/>
      <c r="AC26" s="1"/>
      <c r="AD26" s="1">
        <v>2</v>
      </c>
      <c r="AE26" s="1">
        <v>2</v>
      </c>
      <c r="AF26" s="1"/>
      <c r="AG26" s="1">
        <v>2</v>
      </c>
      <c r="AH26" s="1"/>
      <c r="AI26" s="1">
        <v>2</v>
      </c>
      <c r="AJ26" s="1"/>
      <c r="AK26" s="1">
        <v>2</v>
      </c>
      <c r="AL26" s="1"/>
      <c r="AM26" s="35">
        <f t="shared" si="0"/>
        <v>40</v>
      </c>
      <c r="AN26" s="15"/>
      <c r="AO26" s="15">
        <f t="shared" si="2"/>
        <v>16</v>
      </c>
      <c r="AP26" s="15"/>
      <c r="AQ26" s="41">
        <v>6</v>
      </c>
      <c r="AR26" s="41">
        <v>2026</v>
      </c>
      <c r="AS26" s="10"/>
      <c r="AT26" s="20"/>
    </row>
    <row r="27" spans="1:46" ht="29.1" hidden="1" customHeight="1">
      <c r="A27" s="2">
        <v>22</v>
      </c>
      <c r="B27" s="2" t="s">
        <v>90</v>
      </c>
      <c r="C27" s="3"/>
      <c r="D27" s="3" t="s">
        <v>106</v>
      </c>
      <c r="E27" s="3" t="s">
        <v>95</v>
      </c>
      <c r="F27" s="3" t="s">
        <v>97</v>
      </c>
      <c r="G27" s="29">
        <v>45878</v>
      </c>
      <c r="H27" s="1">
        <v>2</v>
      </c>
      <c r="I27" s="1">
        <v>2</v>
      </c>
      <c r="J27" s="1">
        <v>2</v>
      </c>
      <c r="K27" s="1">
        <v>8</v>
      </c>
      <c r="L27" s="1">
        <v>4</v>
      </c>
      <c r="M27" s="1">
        <v>2</v>
      </c>
      <c r="N27" s="1">
        <v>2</v>
      </c>
      <c r="O27" s="1">
        <v>2</v>
      </c>
      <c r="P27" s="1">
        <v>2</v>
      </c>
      <c r="Q27" s="1">
        <v>4</v>
      </c>
      <c r="R27" s="1">
        <v>8</v>
      </c>
      <c r="S27" s="1">
        <v>2</v>
      </c>
      <c r="T27" s="1">
        <v>2</v>
      </c>
      <c r="U27" s="1">
        <v>2</v>
      </c>
      <c r="V27" s="1">
        <v>2</v>
      </c>
      <c r="W27" s="1">
        <v>2</v>
      </c>
      <c r="X27" s="1">
        <v>2</v>
      </c>
      <c r="Y27" s="1"/>
      <c r="Z27" s="1">
        <v>2</v>
      </c>
      <c r="AA27" s="1"/>
      <c r="AB27" s="1">
        <v>2</v>
      </c>
      <c r="AC27" s="1">
        <v>2</v>
      </c>
      <c r="AD27" s="1">
        <v>2</v>
      </c>
      <c r="AE27" s="1">
        <v>2</v>
      </c>
      <c r="AF27" s="1"/>
      <c r="AG27" s="1">
        <v>2</v>
      </c>
      <c r="AH27" s="1">
        <v>2</v>
      </c>
      <c r="AI27" s="1">
        <v>2</v>
      </c>
      <c r="AJ27" s="1"/>
      <c r="AK27" s="1">
        <v>2</v>
      </c>
      <c r="AL27" s="1"/>
      <c r="AM27" s="35">
        <f t="shared" si="0"/>
        <v>52</v>
      </c>
      <c r="AN27" s="15"/>
      <c r="AO27" s="15">
        <f t="shared" si="2"/>
        <v>16</v>
      </c>
      <c r="AP27" s="15"/>
      <c r="AQ27" s="41">
        <v>6</v>
      </c>
      <c r="AR27" s="41">
        <v>2026</v>
      </c>
      <c r="AS27" s="10"/>
      <c r="AT27" s="20"/>
    </row>
    <row r="28" spans="1:46" ht="29.1" hidden="1" customHeight="1">
      <c r="A28" s="2">
        <v>23</v>
      </c>
      <c r="B28" s="2" t="s">
        <v>91</v>
      </c>
      <c r="C28" s="16"/>
      <c r="D28" s="16" t="s">
        <v>110</v>
      </c>
      <c r="E28" s="16" t="s">
        <v>73</v>
      </c>
      <c r="F28" s="16" t="s">
        <v>112</v>
      </c>
      <c r="G28" s="17" t="s">
        <v>113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35">
        <f t="shared" si="0"/>
        <v>0</v>
      </c>
      <c r="AN28" s="15"/>
      <c r="AO28" s="15">
        <f t="shared" si="2"/>
        <v>0</v>
      </c>
      <c r="AP28" s="15"/>
      <c r="AQ28" s="41">
        <v>6</v>
      </c>
      <c r="AR28" s="41">
        <v>2026</v>
      </c>
      <c r="AS28" s="10"/>
      <c r="AT28" s="20"/>
    </row>
    <row r="29" spans="1:46" ht="29.1" hidden="1" customHeight="1">
      <c r="A29" s="2">
        <v>24</v>
      </c>
      <c r="B29" s="2" t="s">
        <v>107</v>
      </c>
      <c r="C29" s="3"/>
      <c r="D29" s="3" t="s">
        <v>111</v>
      </c>
      <c r="E29" s="3" t="s">
        <v>74</v>
      </c>
      <c r="F29" s="3" t="s">
        <v>48</v>
      </c>
      <c r="G29" s="25" t="s">
        <v>114</v>
      </c>
      <c r="H29" s="1">
        <v>4</v>
      </c>
      <c r="I29" s="1">
        <v>5</v>
      </c>
      <c r="J29" s="1">
        <v>5</v>
      </c>
      <c r="K29" s="1">
        <v>8</v>
      </c>
      <c r="L29" s="1">
        <v>4</v>
      </c>
      <c r="M29" s="1">
        <v>4</v>
      </c>
      <c r="N29" s="1">
        <v>4</v>
      </c>
      <c r="O29" s="1">
        <v>4</v>
      </c>
      <c r="P29" s="1">
        <v>4</v>
      </c>
      <c r="Q29" s="1">
        <v>4</v>
      </c>
      <c r="R29" s="1"/>
      <c r="S29" s="1">
        <v>2</v>
      </c>
      <c r="T29" s="1">
        <v>4</v>
      </c>
      <c r="U29" s="1">
        <v>5</v>
      </c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35">
        <f t="shared" si="0"/>
        <v>49</v>
      </c>
      <c r="AN29" s="15"/>
      <c r="AO29" s="15">
        <f t="shared" si="2"/>
        <v>8</v>
      </c>
      <c r="AP29" s="15"/>
      <c r="AQ29" s="41">
        <v>6</v>
      </c>
      <c r="AR29" s="41">
        <v>2026</v>
      </c>
      <c r="AS29" s="10"/>
      <c r="AT29" s="20"/>
    </row>
    <row r="30" spans="1:46" ht="29.1" hidden="1" customHeight="1">
      <c r="A30" s="2">
        <v>25</v>
      </c>
      <c r="B30" s="2" t="s">
        <v>108</v>
      </c>
      <c r="C30" s="3"/>
      <c r="D30" s="3" t="s">
        <v>159</v>
      </c>
      <c r="E30" s="3" t="s">
        <v>74</v>
      </c>
      <c r="F30" s="3" t="s">
        <v>48</v>
      </c>
      <c r="G30" s="25" t="s">
        <v>115</v>
      </c>
      <c r="H30" s="1">
        <v>4</v>
      </c>
      <c r="I30" s="1"/>
      <c r="J30" s="1"/>
      <c r="K30" s="1">
        <v>8</v>
      </c>
      <c r="L30" s="1"/>
      <c r="M30" s="1">
        <v>4</v>
      </c>
      <c r="N30" s="1"/>
      <c r="O30" s="1">
        <v>6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35">
        <f t="shared" si="0"/>
        <v>14</v>
      </c>
      <c r="AN30" s="15"/>
      <c r="AO30" s="15">
        <f t="shared" si="2"/>
        <v>8</v>
      </c>
      <c r="AP30" s="15"/>
      <c r="AQ30" s="41">
        <v>6</v>
      </c>
      <c r="AR30" s="41">
        <v>2026</v>
      </c>
      <c r="AS30" s="10"/>
      <c r="AT30" s="20"/>
    </row>
    <row r="31" spans="1:46" ht="29.1" hidden="1" customHeight="1">
      <c r="A31" s="2">
        <v>26</v>
      </c>
      <c r="B31" s="2" t="s">
        <v>147</v>
      </c>
      <c r="C31" s="3"/>
      <c r="D31" s="3" t="s">
        <v>125</v>
      </c>
      <c r="E31" s="3" t="s">
        <v>146</v>
      </c>
      <c r="F31" s="3" t="s">
        <v>30</v>
      </c>
      <c r="G31" s="25" t="s">
        <v>139</v>
      </c>
      <c r="H31" s="1">
        <v>4</v>
      </c>
      <c r="I31" s="1">
        <v>4</v>
      </c>
      <c r="J31" s="1">
        <v>4</v>
      </c>
      <c r="K31" s="1"/>
      <c r="L31" s="1">
        <v>4</v>
      </c>
      <c r="M31" s="1">
        <v>4</v>
      </c>
      <c r="N31" s="1">
        <v>4</v>
      </c>
      <c r="O31" s="1">
        <v>4</v>
      </c>
      <c r="P31" s="1">
        <v>4</v>
      </c>
      <c r="Q31" s="1"/>
      <c r="R31" s="1">
        <v>4</v>
      </c>
      <c r="S31" s="1"/>
      <c r="T31" s="1"/>
      <c r="U31" s="1"/>
      <c r="V31" s="1">
        <v>4</v>
      </c>
      <c r="W31" s="1"/>
      <c r="X31" s="1"/>
      <c r="Y31" s="1"/>
      <c r="Z31" s="1"/>
      <c r="AA31" s="1"/>
      <c r="AB31" s="1">
        <v>4</v>
      </c>
      <c r="AC31" s="1">
        <v>3</v>
      </c>
      <c r="AD31" s="1"/>
      <c r="AE31" s="1"/>
      <c r="AF31" s="1"/>
      <c r="AG31" s="1"/>
      <c r="AH31" s="1">
        <v>2</v>
      </c>
      <c r="AI31" s="1">
        <v>4</v>
      </c>
      <c r="AJ31" s="1"/>
      <c r="AK31" s="1"/>
      <c r="AL31" s="1">
        <v>4</v>
      </c>
      <c r="AM31" s="35">
        <f t="shared" si="0"/>
        <v>53</v>
      </c>
      <c r="AN31" s="15"/>
      <c r="AO31" s="15">
        <f t="shared" si="2"/>
        <v>4</v>
      </c>
      <c r="AP31" s="15"/>
      <c r="AQ31" s="41">
        <v>6</v>
      </c>
      <c r="AR31" s="41">
        <v>2026</v>
      </c>
      <c r="AS31" s="10"/>
      <c r="AT31" s="20"/>
    </row>
    <row r="32" spans="1:46" ht="29.1" hidden="1" customHeight="1">
      <c r="A32" s="2">
        <v>27</v>
      </c>
      <c r="B32" s="2" t="s">
        <v>148</v>
      </c>
      <c r="C32" s="3"/>
      <c r="D32" s="3" t="s">
        <v>126</v>
      </c>
      <c r="E32" s="3" t="s">
        <v>146</v>
      </c>
      <c r="F32" s="3" t="s">
        <v>31</v>
      </c>
      <c r="G32" s="25" t="s">
        <v>139</v>
      </c>
      <c r="H32" s="1">
        <v>4</v>
      </c>
      <c r="I32" s="1">
        <v>4</v>
      </c>
      <c r="J32" s="1"/>
      <c r="K32" s="1">
        <v>8</v>
      </c>
      <c r="L32" s="1"/>
      <c r="M32" s="1">
        <v>2</v>
      </c>
      <c r="N32" s="1">
        <v>3</v>
      </c>
      <c r="O32" s="1">
        <v>4</v>
      </c>
      <c r="P32" s="1">
        <v>4</v>
      </c>
      <c r="Q32" s="1"/>
      <c r="R32" s="1">
        <v>4</v>
      </c>
      <c r="S32" s="1"/>
      <c r="T32" s="1"/>
      <c r="U32" s="1">
        <v>2</v>
      </c>
      <c r="V32" s="1">
        <v>2</v>
      </c>
      <c r="W32" s="1">
        <v>2</v>
      </c>
      <c r="X32" s="1">
        <v>2</v>
      </c>
      <c r="Y32" s="1"/>
      <c r="Z32" s="1">
        <v>6</v>
      </c>
      <c r="AA32" s="1"/>
      <c r="AB32" s="1"/>
      <c r="AC32" s="1">
        <v>4</v>
      </c>
      <c r="AD32" s="1"/>
      <c r="AE32" s="1">
        <v>2</v>
      </c>
      <c r="AF32" s="1"/>
      <c r="AG32" s="1"/>
      <c r="AH32" s="1">
        <v>2</v>
      </c>
      <c r="AI32" s="1">
        <v>4</v>
      </c>
      <c r="AJ32" s="1"/>
      <c r="AK32" s="1">
        <v>2</v>
      </c>
      <c r="AL32" s="1"/>
      <c r="AM32" s="35">
        <f t="shared" si="0"/>
        <v>49</v>
      </c>
      <c r="AN32" s="15"/>
      <c r="AO32" s="15">
        <f t="shared" si="2"/>
        <v>12</v>
      </c>
      <c r="AP32" s="15"/>
      <c r="AQ32" s="41">
        <v>6</v>
      </c>
      <c r="AR32" s="41">
        <v>2026</v>
      </c>
      <c r="AS32" s="10"/>
      <c r="AT32" s="20"/>
    </row>
    <row r="33" spans="1:46" ht="29.1" hidden="1" customHeight="1">
      <c r="A33" s="2">
        <v>28</v>
      </c>
      <c r="B33" s="2" t="s">
        <v>149</v>
      </c>
      <c r="C33" s="3"/>
      <c r="D33" s="3" t="s">
        <v>127</v>
      </c>
      <c r="E33" s="3" t="s">
        <v>74</v>
      </c>
      <c r="F33" s="3" t="s">
        <v>137</v>
      </c>
      <c r="G33" s="25" t="s">
        <v>140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>
        <v>2</v>
      </c>
      <c r="T33" s="1">
        <v>4</v>
      </c>
      <c r="U33" s="1">
        <v>4</v>
      </c>
      <c r="V33" s="1"/>
      <c r="W33" s="1"/>
      <c r="X33" s="1">
        <v>3</v>
      </c>
      <c r="Y33" s="1"/>
      <c r="Z33" s="1"/>
      <c r="AA33" s="1"/>
      <c r="AB33" s="1">
        <v>4</v>
      </c>
      <c r="AC33" s="1">
        <v>2</v>
      </c>
      <c r="AD33" s="1"/>
      <c r="AE33" s="1"/>
      <c r="AF33" s="1"/>
      <c r="AG33" s="1">
        <v>1</v>
      </c>
      <c r="AH33" s="1">
        <v>2</v>
      </c>
      <c r="AI33" s="1"/>
      <c r="AJ33" s="1">
        <v>1</v>
      </c>
      <c r="AK33" s="1"/>
      <c r="AL33" s="1">
        <v>2</v>
      </c>
      <c r="AM33" s="35">
        <f t="shared" si="0"/>
        <v>25</v>
      </c>
      <c r="AN33" s="15"/>
      <c r="AO33" s="15">
        <f t="shared" si="2"/>
        <v>0</v>
      </c>
      <c r="AP33" s="15"/>
      <c r="AQ33" s="41">
        <v>6</v>
      </c>
      <c r="AR33" s="41">
        <v>2026</v>
      </c>
      <c r="AS33" s="10"/>
      <c r="AT33" s="20"/>
    </row>
    <row r="34" spans="1:46" ht="29.1" hidden="1" customHeight="1">
      <c r="A34" s="2">
        <v>29</v>
      </c>
      <c r="B34" s="2" t="s">
        <v>150</v>
      </c>
      <c r="C34" s="3"/>
      <c r="D34" s="3" t="s">
        <v>128</v>
      </c>
      <c r="E34" s="3" t="s">
        <v>74</v>
      </c>
      <c r="F34" s="3" t="s">
        <v>48</v>
      </c>
      <c r="G34" s="25" t="s">
        <v>141</v>
      </c>
      <c r="H34" s="1">
        <v>4</v>
      </c>
      <c r="I34" s="1"/>
      <c r="J34" s="1"/>
      <c r="K34" s="1"/>
      <c r="L34" s="1"/>
      <c r="M34" s="1"/>
      <c r="N34" s="1">
        <v>4</v>
      </c>
      <c r="O34" s="1">
        <v>4</v>
      </c>
      <c r="P34" s="1">
        <v>4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35">
        <f t="shared" si="0"/>
        <v>16</v>
      </c>
      <c r="AN34" s="15"/>
      <c r="AO34" s="15">
        <f t="shared" si="2"/>
        <v>0</v>
      </c>
      <c r="AP34" s="15"/>
      <c r="AQ34" s="41">
        <v>6</v>
      </c>
      <c r="AR34" s="41">
        <v>2026</v>
      </c>
      <c r="AS34" s="10"/>
      <c r="AT34" s="20"/>
    </row>
    <row r="35" spans="1:46" ht="29.1" hidden="1" customHeight="1">
      <c r="A35" s="2">
        <v>30</v>
      </c>
      <c r="B35" s="2" t="s">
        <v>151</v>
      </c>
      <c r="C35" s="3"/>
      <c r="D35" s="3" t="s">
        <v>129</v>
      </c>
      <c r="E35" s="3" t="s">
        <v>146</v>
      </c>
      <c r="F35" s="3" t="s">
        <v>138</v>
      </c>
      <c r="G35" s="25" t="s">
        <v>142</v>
      </c>
      <c r="H35" s="1">
        <v>6</v>
      </c>
      <c r="I35" s="1">
        <v>6</v>
      </c>
      <c r="J35" s="1">
        <v>6</v>
      </c>
      <c r="K35" s="1"/>
      <c r="L35" s="1">
        <v>2</v>
      </c>
      <c r="M35" s="1">
        <v>4</v>
      </c>
      <c r="N35" s="1">
        <v>6</v>
      </c>
      <c r="O35" s="1"/>
      <c r="P35" s="1">
        <v>6</v>
      </c>
      <c r="Q35" s="1"/>
      <c r="R35" s="1"/>
      <c r="S35" s="1">
        <v>6</v>
      </c>
      <c r="T35" s="1">
        <v>4</v>
      </c>
      <c r="U35" s="1">
        <v>6</v>
      </c>
      <c r="V35" s="1"/>
      <c r="W35" s="1">
        <v>4</v>
      </c>
      <c r="X35" s="1">
        <v>6</v>
      </c>
      <c r="Y35" s="1"/>
      <c r="Z35" s="1">
        <v>2</v>
      </c>
      <c r="AA35" s="1">
        <v>4</v>
      </c>
      <c r="AB35" s="1">
        <v>4</v>
      </c>
      <c r="AC35" s="1">
        <v>4</v>
      </c>
      <c r="AD35" s="1">
        <v>5</v>
      </c>
      <c r="AE35" s="1">
        <v>4</v>
      </c>
      <c r="AF35" s="1"/>
      <c r="AG35" s="1">
        <v>4</v>
      </c>
      <c r="AH35" s="1">
        <v>4</v>
      </c>
      <c r="AI35" s="1">
        <v>4</v>
      </c>
      <c r="AJ35" s="1">
        <v>4</v>
      </c>
      <c r="AK35" s="1">
        <v>4</v>
      </c>
      <c r="AL35" s="1">
        <v>4</v>
      </c>
      <c r="AM35" s="35">
        <f t="shared" si="0"/>
        <v>109</v>
      </c>
      <c r="AN35" s="15"/>
      <c r="AO35" s="15">
        <f t="shared" si="2"/>
        <v>0</v>
      </c>
      <c r="AP35" s="15"/>
      <c r="AQ35" s="41">
        <v>6</v>
      </c>
      <c r="AR35" s="41">
        <v>2026</v>
      </c>
      <c r="AS35" s="10"/>
      <c r="AT35" s="20"/>
    </row>
    <row r="36" spans="1:46" ht="29.1" hidden="1" customHeight="1">
      <c r="A36" s="2">
        <v>31</v>
      </c>
      <c r="B36" s="2" t="s">
        <v>152</v>
      </c>
      <c r="C36" s="3"/>
      <c r="D36" s="3" t="s">
        <v>130</v>
      </c>
      <c r="E36" s="3" t="s">
        <v>74</v>
      </c>
      <c r="F36" s="3" t="s">
        <v>49</v>
      </c>
      <c r="G36" s="25" t="s">
        <v>143</v>
      </c>
      <c r="H36" s="1">
        <v>6</v>
      </c>
      <c r="I36" s="1">
        <v>6</v>
      </c>
      <c r="J36" s="1">
        <v>2</v>
      </c>
      <c r="K36" s="1"/>
      <c r="L36" s="1">
        <v>6</v>
      </c>
      <c r="M36" s="1">
        <v>5</v>
      </c>
      <c r="N36" s="1">
        <v>6</v>
      </c>
      <c r="O36" s="1">
        <v>6</v>
      </c>
      <c r="P36" s="1">
        <v>9</v>
      </c>
      <c r="Q36" s="1"/>
      <c r="R36" s="1">
        <v>8</v>
      </c>
      <c r="S36" s="1">
        <v>5</v>
      </c>
      <c r="T36" s="1">
        <v>4</v>
      </c>
      <c r="U36" s="1">
        <v>6</v>
      </c>
      <c r="V36" s="1">
        <v>2</v>
      </c>
      <c r="W36" s="1"/>
      <c r="X36" s="1">
        <v>6</v>
      </c>
      <c r="Y36" s="1"/>
      <c r="Z36" s="1">
        <v>4</v>
      </c>
      <c r="AA36" s="1">
        <v>6</v>
      </c>
      <c r="AB36" s="1">
        <v>6</v>
      </c>
      <c r="AC36" s="1">
        <v>4</v>
      </c>
      <c r="AD36" s="1">
        <v>6</v>
      </c>
      <c r="AE36" s="1">
        <v>4</v>
      </c>
      <c r="AF36" s="1"/>
      <c r="AG36" s="1">
        <v>4</v>
      </c>
      <c r="AH36" s="1">
        <v>4</v>
      </c>
      <c r="AI36" s="1">
        <v>4</v>
      </c>
      <c r="AJ36" s="1">
        <v>4</v>
      </c>
      <c r="AK36" s="1">
        <v>4</v>
      </c>
      <c r="AL36" s="1">
        <v>4</v>
      </c>
      <c r="AM36" s="35">
        <f t="shared" si="0"/>
        <v>122</v>
      </c>
      <c r="AN36" s="15">
        <v>1</v>
      </c>
      <c r="AO36" s="15">
        <f t="shared" si="2"/>
        <v>8</v>
      </c>
      <c r="AP36" s="15"/>
      <c r="AQ36" s="41">
        <v>6</v>
      </c>
      <c r="AR36" s="41">
        <v>2026</v>
      </c>
      <c r="AS36" s="10"/>
      <c r="AT36" s="20"/>
    </row>
    <row r="37" spans="1:46" ht="29.1" hidden="1" customHeight="1">
      <c r="A37" s="2">
        <v>32</v>
      </c>
      <c r="B37" s="2" t="s">
        <v>153</v>
      </c>
      <c r="C37" s="3"/>
      <c r="D37" s="3" t="s">
        <v>131</v>
      </c>
      <c r="E37" s="3" t="s">
        <v>74</v>
      </c>
      <c r="F37" s="3" t="s">
        <v>49</v>
      </c>
      <c r="G37" s="25" t="s">
        <v>143</v>
      </c>
      <c r="H37" s="1">
        <v>6</v>
      </c>
      <c r="I37" s="1">
        <v>6</v>
      </c>
      <c r="J37" s="1">
        <v>4</v>
      </c>
      <c r="K37" s="1"/>
      <c r="L37" s="1">
        <v>2</v>
      </c>
      <c r="M37" s="1">
        <v>4</v>
      </c>
      <c r="N37" s="1">
        <v>6</v>
      </c>
      <c r="O37" s="1">
        <v>6</v>
      </c>
      <c r="P37" s="1">
        <v>6</v>
      </c>
      <c r="Q37" s="1">
        <v>2</v>
      </c>
      <c r="R37" s="1"/>
      <c r="S37" s="1">
        <v>6</v>
      </c>
      <c r="T37" s="1">
        <v>4</v>
      </c>
      <c r="U37" s="1">
        <v>6</v>
      </c>
      <c r="V37" s="1">
        <v>2</v>
      </c>
      <c r="W37" s="1">
        <v>6</v>
      </c>
      <c r="X37" s="1">
        <v>6</v>
      </c>
      <c r="Y37" s="1"/>
      <c r="Z37" s="1">
        <v>4</v>
      </c>
      <c r="AA37" s="1">
        <v>6</v>
      </c>
      <c r="AB37" s="1">
        <v>4</v>
      </c>
      <c r="AC37" s="1">
        <v>6</v>
      </c>
      <c r="AD37" s="1">
        <v>5</v>
      </c>
      <c r="AE37" s="1">
        <v>4</v>
      </c>
      <c r="AF37" s="1"/>
      <c r="AG37" s="1">
        <v>6</v>
      </c>
      <c r="AH37" s="1">
        <v>4</v>
      </c>
      <c r="AI37" s="1">
        <v>4</v>
      </c>
      <c r="AJ37" s="1">
        <v>4</v>
      </c>
      <c r="AK37" s="1">
        <v>4</v>
      </c>
      <c r="AL37" s="1">
        <v>4</v>
      </c>
      <c r="AM37" s="35">
        <f t="shared" si="0"/>
        <v>127</v>
      </c>
      <c r="AN37" s="15"/>
      <c r="AO37" s="15">
        <f t="shared" si="2"/>
        <v>0</v>
      </c>
      <c r="AP37" s="15"/>
      <c r="AQ37" s="41">
        <v>6</v>
      </c>
      <c r="AR37" s="41">
        <v>2026</v>
      </c>
      <c r="AS37" s="10"/>
      <c r="AT37" s="20"/>
    </row>
    <row r="38" spans="1:46" ht="29.1" hidden="1" customHeight="1">
      <c r="A38" s="2">
        <v>35</v>
      </c>
      <c r="B38" s="2" t="s">
        <v>154</v>
      </c>
      <c r="C38" s="3"/>
      <c r="D38" s="3" t="s">
        <v>132</v>
      </c>
      <c r="E38" s="3" t="s">
        <v>74</v>
      </c>
      <c r="F38" s="3" t="s">
        <v>48</v>
      </c>
      <c r="G38" s="25" t="s">
        <v>144</v>
      </c>
      <c r="H38" s="1"/>
      <c r="I38" s="1">
        <v>5</v>
      </c>
      <c r="J38" s="1">
        <v>2</v>
      </c>
      <c r="K38" s="1">
        <v>8</v>
      </c>
      <c r="L38" s="1"/>
      <c r="M38" s="1">
        <v>4</v>
      </c>
      <c r="N38" s="1">
        <v>4</v>
      </c>
      <c r="O38" s="1">
        <v>4</v>
      </c>
      <c r="P38" s="1">
        <v>4</v>
      </c>
      <c r="Q38" s="1">
        <v>4</v>
      </c>
      <c r="R38" s="1"/>
      <c r="S38" s="1">
        <v>1</v>
      </c>
      <c r="T38" s="1">
        <v>1</v>
      </c>
      <c r="U38" s="1">
        <v>1</v>
      </c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35">
        <f t="shared" si="0"/>
        <v>30</v>
      </c>
      <c r="AN38" s="15"/>
      <c r="AO38" s="15">
        <f t="shared" si="2"/>
        <v>8</v>
      </c>
      <c r="AP38" s="15"/>
      <c r="AQ38" s="41">
        <v>6</v>
      </c>
      <c r="AR38" s="41">
        <v>2026</v>
      </c>
      <c r="AS38" s="10"/>
      <c r="AT38" s="20"/>
    </row>
    <row r="39" spans="1:46" ht="29.1" hidden="1" customHeight="1">
      <c r="A39" s="2">
        <v>36</v>
      </c>
      <c r="B39" s="2" t="s">
        <v>155</v>
      </c>
      <c r="C39" s="3"/>
      <c r="D39" s="3" t="s">
        <v>133</v>
      </c>
      <c r="E39" s="3" t="s">
        <v>74</v>
      </c>
      <c r="F39" s="3" t="s">
        <v>48</v>
      </c>
      <c r="G39" s="25" t="s">
        <v>144</v>
      </c>
      <c r="H39" s="1">
        <v>4</v>
      </c>
      <c r="I39" s="1">
        <v>5</v>
      </c>
      <c r="J39" s="1"/>
      <c r="K39" s="1"/>
      <c r="L39" s="1"/>
      <c r="M39" s="1">
        <v>4</v>
      </c>
      <c r="N39" s="1">
        <v>4</v>
      </c>
      <c r="O39" s="1">
        <v>4</v>
      </c>
      <c r="P39" s="1">
        <v>4</v>
      </c>
      <c r="Q39" s="1">
        <v>4</v>
      </c>
      <c r="R39" s="1"/>
      <c r="S39" s="1">
        <v>1</v>
      </c>
      <c r="T39" s="1">
        <v>5</v>
      </c>
      <c r="U39" s="1">
        <v>1</v>
      </c>
      <c r="V39" s="1"/>
      <c r="W39" s="1"/>
      <c r="X39" s="1">
        <v>3</v>
      </c>
      <c r="Y39" s="1"/>
      <c r="Z39" s="1"/>
      <c r="AA39" s="1"/>
      <c r="AB39" s="1">
        <v>4</v>
      </c>
      <c r="AC39" s="1">
        <v>2</v>
      </c>
      <c r="AD39" s="1"/>
      <c r="AE39" s="1"/>
      <c r="AF39" s="1"/>
      <c r="AG39" s="1">
        <v>1</v>
      </c>
      <c r="AH39" s="1">
        <v>2</v>
      </c>
      <c r="AI39" s="1"/>
      <c r="AJ39" s="1">
        <v>1</v>
      </c>
      <c r="AK39" s="1"/>
      <c r="AL39" s="1">
        <v>2</v>
      </c>
      <c r="AM39" s="35">
        <f t="shared" si="0"/>
        <v>51</v>
      </c>
      <c r="AN39" s="15"/>
      <c r="AO39" s="15">
        <f t="shared" si="2"/>
        <v>0</v>
      </c>
      <c r="AP39" s="15"/>
      <c r="AQ39" s="41">
        <v>6</v>
      </c>
      <c r="AR39" s="41">
        <v>2026</v>
      </c>
      <c r="AS39" s="10"/>
      <c r="AT39" s="20"/>
    </row>
    <row r="40" spans="1:46" ht="29.1" hidden="1" customHeight="1">
      <c r="A40" s="2">
        <v>39</v>
      </c>
      <c r="B40" s="2" t="s">
        <v>156</v>
      </c>
      <c r="C40" s="3"/>
      <c r="D40" s="3" t="s">
        <v>134</v>
      </c>
      <c r="E40" s="3" t="s">
        <v>74</v>
      </c>
      <c r="F40" s="3" t="s">
        <v>49</v>
      </c>
      <c r="G40" s="25" t="s">
        <v>145</v>
      </c>
      <c r="H40" s="1">
        <v>5</v>
      </c>
      <c r="I40" s="1">
        <v>4</v>
      </c>
      <c r="J40" s="1">
        <v>5</v>
      </c>
      <c r="K40" s="1">
        <v>8</v>
      </c>
      <c r="L40" s="1">
        <v>4</v>
      </c>
      <c r="M40" s="1">
        <v>4</v>
      </c>
      <c r="N40" s="1">
        <v>4</v>
      </c>
      <c r="O40" s="1">
        <v>4</v>
      </c>
      <c r="P40" s="1"/>
      <c r="Q40" s="1"/>
      <c r="R40" s="1"/>
      <c r="S40" s="1"/>
      <c r="T40" s="1">
        <v>4</v>
      </c>
      <c r="U40" s="1">
        <v>1</v>
      </c>
      <c r="V40" s="1"/>
      <c r="W40" s="1"/>
      <c r="X40" s="1">
        <v>3</v>
      </c>
      <c r="Y40" s="1"/>
      <c r="Z40" s="1"/>
      <c r="AA40" s="1"/>
      <c r="AB40" s="1"/>
      <c r="AC40" s="1">
        <v>2</v>
      </c>
      <c r="AD40" s="1"/>
      <c r="AE40" s="1"/>
      <c r="AF40" s="1"/>
      <c r="AG40" s="1"/>
      <c r="AH40" s="1"/>
      <c r="AI40" s="1"/>
      <c r="AJ40" s="1"/>
      <c r="AK40" s="1"/>
      <c r="AL40" s="1">
        <v>4</v>
      </c>
      <c r="AM40" s="35">
        <f t="shared" si="0"/>
        <v>44</v>
      </c>
      <c r="AN40" s="15"/>
      <c r="AO40" s="15">
        <f t="shared" si="2"/>
        <v>8</v>
      </c>
      <c r="AP40" s="15"/>
      <c r="AQ40" s="41">
        <v>6</v>
      </c>
      <c r="AR40" s="41">
        <v>2026</v>
      </c>
      <c r="AS40" s="10"/>
      <c r="AT40" s="20"/>
    </row>
    <row r="41" spans="1:46" ht="29.1" hidden="1" customHeight="1">
      <c r="A41" s="2">
        <v>40</v>
      </c>
      <c r="B41" s="2" t="s">
        <v>157</v>
      </c>
      <c r="C41" s="3"/>
      <c r="D41" s="3" t="s">
        <v>135</v>
      </c>
      <c r="E41" s="3" t="s">
        <v>74</v>
      </c>
      <c r="F41" s="3" t="s">
        <v>48</v>
      </c>
      <c r="G41" s="25" t="s">
        <v>145</v>
      </c>
      <c r="H41" s="1"/>
      <c r="I41" s="1">
        <v>4</v>
      </c>
      <c r="J41" s="1">
        <v>1</v>
      </c>
      <c r="K41" s="1"/>
      <c r="L41" s="1"/>
      <c r="M41" s="1"/>
      <c r="N41" s="1">
        <v>4</v>
      </c>
      <c r="O41" s="1">
        <v>4</v>
      </c>
      <c r="P41" s="1">
        <v>4</v>
      </c>
      <c r="Q41" s="1"/>
      <c r="R41" s="1"/>
      <c r="S41" s="1"/>
      <c r="T41" s="1"/>
      <c r="U41" s="1">
        <v>4</v>
      </c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35">
        <f t="shared" si="0"/>
        <v>21</v>
      </c>
      <c r="AN41" s="15"/>
      <c r="AO41" s="15">
        <f t="shared" si="2"/>
        <v>0</v>
      </c>
      <c r="AP41" s="15"/>
      <c r="AQ41" s="41">
        <v>6</v>
      </c>
      <c r="AR41" s="41">
        <v>2026</v>
      </c>
      <c r="AS41" s="10"/>
      <c r="AT41" s="20"/>
    </row>
    <row r="42" spans="1:46" ht="29.1" hidden="1" customHeight="1">
      <c r="A42" s="2">
        <v>41</v>
      </c>
      <c r="B42" s="2" t="s">
        <v>158</v>
      </c>
      <c r="C42" s="3"/>
      <c r="D42" s="3" t="s">
        <v>136</v>
      </c>
      <c r="E42" s="3" t="s">
        <v>74</v>
      </c>
      <c r="F42" s="3" t="s">
        <v>48</v>
      </c>
      <c r="G42" s="25" t="s">
        <v>145</v>
      </c>
      <c r="H42" s="1">
        <v>5</v>
      </c>
      <c r="I42" s="1">
        <v>4</v>
      </c>
      <c r="J42" s="1">
        <v>5</v>
      </c>
      <c r="K42" s="1">
        <v>8</v>
      </c>
      <c r="L42" s="1">
        <v>4</v>
      </c>
      <c r="M42" s="1">
        <v>4</v>
      </c>
      <c r="N42" s="1">
        <v>4</v>
      </c>
      <c r="O42" s="1">
        <v>4</v>
      </c>
      <c r="P42" s="1">
        <v>4</v>
      </c>
      <c r="Q42" s="1">
        <v>4</v>
      </c>
      <c r="R42" s="1"/>
      <c r="S42" s="1">
        <v>2</v>
      </c>
      <c r="T42" s="1">
        <v>4</v>
      </c>
      <c r="U42" s="1">
        <v>1</v>
      </c>
      <c r="V42" s="1"/>
      <c r="W42" s="1"/>
      <c r="X42" s="1">
        <v>3</v>
      </c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35">
        <f t="shared" si="0"/>
        <v>48</v>
      </c>
      <c r="AN42" s="15"/>
      <c r="AO42" s="15">
        <f t="shared" si="2"/>
        <v>8</v>
      </c>
      <c r="AP42" s="15"/>
      <c r="AQ42" s="41">
        <v>6</v>
      </c>
      <c r="AR42" s="41">
        <v>2026</v>
      </c>
      <c r="AS42" s="10"/>
      <c r="AT42" s="20"/>
    </row>
    <row r="43" spans="1:46" ht="29.1" hidden="1" customHeight="1">
      <c r="A43" s="2">
        <v>42</v>
      </c>
      <c r="B43" s="2" t="s">
        <v>174</v>
      </c>
      <c r="C43" s="3"/>
      <c r="D43" s="3" t="s">
        <v>165</v>
      </c>
      <c r="E43" s="3" t="s">
        <v>74</v>
      </c>
      <c r="F43" s="3" t="s">
        <v>48</v>
      </c>
      <c r="G43" s="25" t="s">
        <v>170</v>
      </c>
      <c r="H43" s="1">
        <v>5</v>
      </c>
      <c r="I43" s="1">
        <v>5</v>
      </c>
      <c r="J43" s="1">
        <v>5</v>
      </c>
      <c r="K43" s="1">
        <v>8</v>
      </c>
      <c r="L43" s="1">
        <v>4</v>
      </c>
      <c r="M43" s="1">
        <v>4</v>
      </c>
      <c r="N43" s="1">
        <v>4</v>
      </c>
      <c r="O43" s="1">
        <v>4</v>
      </c>
      <c r="P43" s="1">
        <v>4</v>
      </c>
      <c r="Q43" s="1">
        <v>4</v>
      </c>
      <c r="R43" s="1"/>
      <c r="S43" s="1">
        <v>2</v>
      </c>
      <c r="T43" s="1"/>
      <c r="U43" s="1">
        <v>4</v>
      </c>
      <c r="V43" s="1"/>
      <c r="W43" s="1"/>
      <c r="X43" s="1"/>
      <c r="Y43" s="1"/>
      <c r="Z43" s="1"/>
      <c r="AA43" s="1"/>
      <c r="AB43" s="1"/>
      <c r="AC43" s="1">
        <v>2</v>
      </c>
      <c r="AD43" s="1"/>
      <c r="AE43" s="1"/>
      <c r="AF43" s="1"/>
      <c r="AG43" s="1"/>
      <c r="AH43" s="1"/>
      <c r="AI43" s="1"/>
      <c r="AJ43" s="1"/>
      <c r="AK43" s="1"/>
      <c r="AL43" s="1"/>
      <c r="AM43" s="35">
        <f t="shared" si="0"/>
        <v>47</v>
      </c>
      <c r="AN43" s="15"/>
      <c r="AO43" s="15">
        <f t="shared" si="2"/>
        <v>8</v>
      </c>
      <c r="AP43" s="15"/>
      <c r="AQ43" s="41">
        <v>6</v>
      </c>
      <c r="AR43" s="41">
        <v>2026</v>
      </c>
      <c r="AS43" s="10"/>
      <c r="AT43" s="20"/>
    </row>
    <row r="44" spans="1:46" ht="29.1" customHeight="1">
      <c r="A44" s="2">
        <v>43</v>
      </c>
      <c r="B44" s="2" t="s">
        <v>175</v>
      </c>
      <c r="C44" s="3"/>
      <c r="D44" s="3" t="s">
        <v>166</v>
      </c>
      <c r="E44" s="3" t="s">
        <v>74</v>
      </c>
      <c r="F44" s="3" t="s">
        <v>48</v>
      </c>
      <c r="G44" s="25" t="s">
        <v>171</v>
      </c>
      <c r="H44" s="1">
        <v>4</v>
      </c>
      <c r="I44" s="1">
        <v>4</v>
      </c>
      <c r="J44" s="1">
        <v>4</v>
      </c>
      <c r="K44" s="1">
        <v>8</v>
      </c>
      <c r="L44" s="1">
        <v>4</v>
      </c>
      <c r="M44" s="1">
        <v>4</v>
      </c>
      <c r="N44" s="1">
        <v>4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>
        <v>4</v>
      </c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35">
        <f t="shared" si="0"/>
        <v>28</v>
      </c>
      <c r="AN44" s="15"/>
      <c r="AO44" s="15">
        <f t="shared" si="2"/>
        <v>8</v>
      </c>
      <c r="AP44" s="15"/>
      <c r="AQ44" s="41">
        <v>6</v>
      </c>
      <c r="AR44" s="41">
        <v>2026</v>
      </c>
      <c r="AS44" s="19"/>
      <c r="AT44" s="20"/>
    </row>
    <row r="45" spans="1:46" ht="29.1" hidden="1" customHeight="1">
      <c r="A45" s="2">
        <v>44</v>
      </c>
      <c r="B45" s="2" t="s">
        <v>176</v>
      </c>
      <c r="C45" s="3"/>
      <c r="D45" s="3" t="s">
        <v>167</v>
      </c>
      <c r="E45" s="3" t="s">
        <v>74</v>
      </c>
      <c r="F45" s="3" t="s">
        <v>48</v>
      </c>
      <c r="G45" s="25" t="s">
        <v>171</v>
      </c>
      <c r="H45" s="1">
        <v>4</v>
      </c>
      <c r="I45" s="1">
        <v>4</v>
      </c>
      <c r="J45" s="1">
        <v>4</v>
      </c>
      <c r="K45" s="1">
        <v>8</v>
      </c>
      <c r="L45" s="1">
        <v>4</v>
      </c>
      <c r="M45" s="1">
        <v>4</v>
      </c>
      <c r="N45" s="1">
        <v>4</v>
      </c>
      <c r="O45" s="1">
        <v>6</v>
      </c>
      <c r="P45" s="1">
        <v>5</v>
      </c>
      <c r="Q45" s="1"/>
      <c r="R45" s="1"/>
      <c r="S45" s="1"/>
      <c r="T45" s="1"/>
      <c r="U45" s="1">
        <v>4</v>
      </c>
      <c r="V45" s="1"/>
      <c r="W45" s="1">
        <v>6</v>
      </c>
      <c r="X45" s="1"/>
      <c r="Y45" s="1"/>
      <c r="Z45" s="1">
        <v>5</v>
      </c>
      <c r="AA45" s="1"/>
      <c r="AB45" s="1">
        <v>4</v>
      </c>
      <c r="AC45" s="1">
        <v>4</v>
      </c>
      <c r="AD45" s="1"/>
      <c r="AE45" s="1">
        <v>4</v>
      </c>
      <c r="AF45" s="1"/>
      <c r="AG45" s="1"/>
      <c r="AH45" s="1"/>
      <c r="AI45" s="1"/>
      <c r="AJ45" s="1"/>
      <c r="AK45" s="1"/>
      <c r="AL45" s="1"/>
      <c r="AM45" s="35">
        <f t="shared" si="0"/>
        <v>62</v>
      </c>
      <c r="AN45" s="15"/>
      <c r="AO45" s="15">
        <f t="shared" si="2"/>
        <v>8</v>
      </c>
      <c r="AP45" s="15"/>
      <c r="AQ45" s="41">
        <v>6</v>
      </c>
      <c r="AR45" s="41">
        <v>2026</v>
      </c>
      <c r="AS45" s="10"/>
      <c r="AT45" s="20"/>
    </row>
    <row r="46" spans="1:46" ht="29.1" hidden="1" customHeight="1">
      <c r="A46" s="2">
        <v>45</v>
      </c>
      <c r="B46" s="2" t="s">
        <v>177</v>
      </c>
      <c r="C46" s="16"/>
      <c r="D46" s="16" t="s">
        <v>168</v>
      </c>
      <c r="E46" s="16" t="s">
        <v>74</v>
      </c>
      <c r="F46" s="16" t="s">
        <v>48</v>
      </c>
      <c r="G46" s="17" t="s">
        <v>172</v>
      </c>
      <c r="H46" s="1">
        <v>4</v>
      </c>
      <c r="I46" s="1">
        <v>4</v>
      </c>
      <c r="J46" s="1">
        <v>4</v>
      </c>
      <c r="K46" s="1">
        <v>8</v>
      </c>
      <c r="L46" s="1">
        <v>4</v>
      </c>
      <c r="M46" s="1">
        <v>4</v>
      </c>
      <c r="N46" s="1">
        <v>4</v>
      </c>
      <c r="O46" s="1"/>
      <c r="P46" s="1"/>
      <c r="Q46" s="1"/>
      <c r="R46" s="1"/>
      <c r="S46" s="1"/>
      <c r="T46" s="1"/>
      <c r="U46" s="1"/>
      <c r="V46" s="1"/>
      <c r="W46" s="1"/>
      <c r="X46" s="1">
        <v>4</v>
      </c>
      <c r="Y46" s="1"/>
      <c r="Z46" s="1"/>
      <c r="AA46" s="1">
        <v>4</v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35">
        <f t="shared" si="0"/>
        <v>32</v>
      </c>
      <c r="AN46" s="15"/>
      <c r="AO46" s="15">
        <f t="shared" si="2"/>
        <v>8</v>
      </c>
      <c r="AP46" s="15"/>
      <c r="AQ46" s="41">
        <v>6</v>
      </c>
      <c r="AR46" s="41">
        <v>2026</v>
      </c>
      <c r="AS46" s="10"/>
      <c r="AT46" s="20"/>
    </row>
    <row r="47" spans="1:46" ht="29.1" hidden="1" customHeight="1">
      <c r="A47" s="2">
        <v>46</v>
      </c>
      <c r="B47" s="2" t="s">
        <v>178</v>
      </c>
      <c r="C47" s="16"/>
      <c r="D47" s="16" t="s">
        <v>169</v>
      </c>
      <c r="E47" s="16" t="s">
        <v>74</v>
      </c>
      <c r="F47" s="16" t="s">
        <v>48</v>
      </c>
      <c r="G47" s="17" t="s">
        <v>173</v>
      </c>
      <c r="H47" s="1"/>
      <c r="I47" s="1">
        <v>4</v>
      </c>
      <c r="J47" s="1">
        <v>4</v>
      </c>
      <c r="K47" s="1">
        <v>8</v>
      </c>
      <c r="L47" s="1">
        <v>4</v>
      </c>
      <c r="M47" s="1">
        <v>4</v>
      </c>
      <c r="N47" s="1">
        <v>4</v>
      </c>
      <c r="O47" s="1">
        <v>4</v>
      </c>
      <c r="P47" s="1"/>
      <c r="Q47" s="1"/>
      <c r="R47" s="1"/>
      <c r="S47" s="1">
        <v>4</v>
      </c>
      <c r="T47" s="1">
        <v>4</v>
      </c>
      <c r="U47" s="1">
        <v>4</v>
      </c>
      <c r="V47" s="1"/>
      <c r="W47" s="1">
        <v>4</v>
      </c>
      <c r="X47" s="1">
        <v>4</v>
      </c>
      <c r="Y47" s="1"/>
      <c r="Z47" s="1"/>
      <c r="AA47" s="1">
        <v>4</v>
      </c>
      <c r="AB47" s="1">
        <v>4</v>
      </c>
      <c r="AC47" s="1">
        <v>4</v>
      </c>
      <c r="AD47" s="1"/>
      <c r="AE47" s="1">
        <v>4</v>
      </c>
      <c r="AF47" s="1"/>
      <c r="AG47" s="1"/>
      <c r="AH47" s="1"/>
      <c r="AI47" s="1"/>
      <c r="AJ47" s="1"/>
      <c r="AK47" s="1"/>
      <c r="AL47" s="1"/>
      <c r="AM47" s="35">
        <f t="shared" si="0"/>
        <v>60</v>
      </c>
      <c r="AN47" s="15"/>
      <c r="AO47" s="15">
        <f t="shared" si="2"/>
        <v>8</v>
      </c>
      <c r="AP47" s="15"/>
      <c r="AQ47" s="41">
        <v>6</v>
      </c>
      <c r="AR47" s="41">
        <v>2026</v>
      </c>
      <c r="AS47" s="16"/>
      <c r="AT47" s="20"/>
    </row>
    <row r="48" spans="1:46" ht="29.1" hidden="1" customHeight="1">
      <c r="A48" s="2">
        <v>47</v>
      </c>
      <c r="B48" s="2" t="s">
        <v>184</v>
      </c>
      <c r="C48" s="3"/>
      <c r="D48" s="3" t="s">
        <v>181</v>
      </c>
      <c r="E48" s="3" t="s">
        <v>74</v>
      </c>
      <c r="F48" s="25" t="s">
        <v>48</v>
      </c>
      <c r="G48" s="25" t="s">
        <v>182</v>
      </c>
      <c r="H48" s="1">
        <v>6</v>
      </c>
      <c r="I48" s="1">
        <v>6</v>
      </c>
      <c r="J48" s="1">
        <v>4</v>
      </c>
      <c r="K48" s="1">
        <v>8</v>
      </c>
      <c r="L48" s="1">
        <v>4</v>
      </c>
      <c r="M48" s="1">
        <v>4</v>
      </c>
      <c r="N48" s="1">
        <v>6</v>
      </c>
      <c r="O48" s="1">
        <v>6</v>
      </c>
      <c r="P48" s="1">
        <v>4</v>
      </c>
      <c r="Q48" s="1">
        <v>2</v>
      </c>
      <c r="R48" s="1"/>
      <c r="S48" s="1">
        <v>4</v>
      </c>
      <c r="T48" s="1">
        <v>4</v>
      </c>
      <c r="U48" s="1">
        <v>4</v>
      </c>
      <c r="V48" s="1"/>
      <c r="W48" s="1">
        <v>4</v>
      </c>
      <c r="X48" s="1"/>
      <c r="Y48" s="1"/>
      <c r="Z48" s="1">
        <v>2</v>
      </c>
      <c r="AA48" s="1">
        <v>4</v>
      </c>
      <c r="AB48" s="1">
        <v>4</v>
      </c>
      <c r="AC48" s="1">
        <v>6</v>
      </c>
      <c r="AD48" s="1">
        <v>4</v>
      </c>
      <c r="AE48" s="1">
        <v>4</v>
      </c>
      <c r="AF48" s="1"/>
      <c r="AG48" s="1">
        <v>4</v>
      </c>
      <c r="AH48" s="1">
        <v>4</v>
      </c>
      <c r="AI48" s="1">
        <v>4</v>
      </c>
      <c r="AJ48" s="1"/>
      <c r="AK48" s="1">
        <v>4</v>
      </c>
      <c r="AL48" s="1">
        <v>4</v>
      </c>
      <c r="AM48" s="35">
        <f t="shared" si="0"/>
        <v>102</v>
      </c>
      <c r="AN48" s="15"/>
      <c r="AO48" s="15">
        <f t="shared" si="2"/>
        <v>8</v>
      </c>
      <c r="AP48" s="15"/>
      <c r="AQ48" s="41">
        <v>6</v>
      </c>
      <c r="AR48" s="41">
        <v>2026</v>
      </c>
      <c r="AS48" s="3"/>
      <c r="AT48" s="20"/>
    </row>
    <row r="49" spans="1:46" ht="29.1" hidden="1" customHeight="1">
      <c r="A49" s="2">
        <v>50</v>
      </c>
      <c r="B49" s="2" t="s">
        <v>185</v>
      </c>
      <c r="C49" s="3"/>
      <c r="D49" s="3" t="s">
        <v>183</v>
      </c>
      <c r="E49" s="3" t="s">
        <v>74</v>
      </c>
      <c r="F49" s="25" t="s">
        <v>48</v>
      </c>
      <c r="G49" s="29" t="s">
        <v>187</v>
      </c>
      <c r="H49" s="1"/>
      <c r="I49" s="1">
        <v>4</v>
      </c>
      <c r="J49" s="1">
        <v>4</v>
      </c>
      <c r="K49" s="1">
        <v>8</v>
      </c>
      <c r="L49" s="1">
        <v>4</v>
      </c>
      <c r="M49" s="1">
        <v>4</v>
      </c>
      <c r="N49" s="1">
        <v>4</v>
      </c>
      <c r="O49" s="1">
        <v>2</v>
      </c>
      <c r="P49" s="1">
        <v>4</v>
      </c>
      <c r="Q49" s="1"/>
      <c r="R49" s="1"/>
      <c r="S49" s="1">
        <v>4</v>
      </c>
      <c r="T49" s="1">
        <v>4</v>
      </c>
      <c r="U49" s="1">
        <v>4</v>
      </c>
      <c r="V49" s="1"/>
      <c r="W49" s="1">
        <v>4</v>
      </c>
      <c r="X49" s="1">
        <v>4</v>
      </c>
      <c r="Y49" s="1"/>
      <c r="Z49" s="1"/>
      <c r="AA49" s="1">
        <v>4</v>
      </c>
      <c r="AB49" s="1">
        <v>4</v>
      </c>
      <c r="AC49" s="1">
        <v>4</v>
      </c>
      <c r="AD49" s="1"/>
      <c r="AE49" s="1">
        <v>4</v>
      </c>
      <c r="AF49" s="1"/>
      <c r="AG49" s="1"/>
      <c r="AH49" s="1"/>
      <c r="AI49" s="1"/>
      <c r="AJ49" s="1"/>
      <c r="AK49" s="1">
        <v>1</v>
      </c>
      <c r="AL49" s="1"/>
      <c r="AM49" s="35">
        <f t="shared" si="0"/>
        <v>63</v>
      </c>
      <c r="AN49" s="15"/>
      <c r="AO49" s="15">
        <f t="shared" si="2"/>
        <v>8</v>
      </c>
      <c r="AP49" s="15"/>
      <c r="AQ49" s="41">
        <v>6</v>
      </c>
      <c r="AR49" s="41">
        <v>2026</v>
      </c>
      <c r="AS49" s="3"/>
      <c r="AT49" s="20"/>
    </row>
    <row r="50" spans="1:46" ht="29.1" hidden="1" customHeight="1">
      <c r="A50" s="2">
        <v>51</v>
      </c>
      <c r="B50" s="2" t="s">
        <v>188</v>
      </c>
      <c r="C50" s="3"/>
      <c r="D50" s="11" t="s">
        <v>189</v>
      </c>
      <c r="E50" s="3" t="s">
        <v>74</v>
      </c>
      <c r="F50" s="25" t="s">
        <v>48</v>
      </c>
      <c r="G50" s="30" t="s">
        <v>190</v>
      </c>
      <c r="H50" s="1"/>
      <c r="I50" s="1">
        <v>4</v>
      </c>
      <c r="J50" s="1">
        <v>4</v>
      </c>
      <c r="K50" s="1">
        <v>8</v>
      </c>
      <c r="L50" s="1">
        <v>4</v>
      </c>
      <c r="M50" s="1">
        <v>4</v>
      </c>
      <c r="N50" s="1">
        <v>4</v>
      </c>
      <c r="O50" s="1">
        <v>4</v>
      </c>
      <c r="P50" s="1">
        <v>4</v>
      </c>
      <c r="Q50" s="1"/>
      <c r="R50" s="1"/>
      <c r="S50" s="1">
        <v>5</v>
      </c>
      <c r="T50" s="1">
        <v>4</v>
      </c>
      <c r="U50" s="1">
        <v>4</v>
      </c>
      <c r="V50" s="1">
        <v>4</v>
      </c>
      <c r="W50" s="1"/>
      <c r="X50" s="1">
        <v>4</v>
      </c>
      <c r="Y50" s="1"/>
      <c r="Z50" s="1">
        <v>5</v>
      </c>
      <c r="AA50" s="1">
        <v>4</v>
      </c>
      <c r="AB50" s="1">
        <v>4</v>
      </c>
      <c r="AC50" s="1"/>
      <c r="AD50" s="1"/>
      <c r="AE50" s="1">
        <v>4</v>
      </c>
      <c r="AF50" s="1"/>
      <c r="AG50" s="1"/>
      <c r="AH50" s="1"/>
      <c r="AI50" s="1"/>
      <c r="AJ50" s="1"/>
      <c r="AK50" s="1"/>
      <c r="AL50" s="1"/>
      <c r="AM50" s="35">
        <f t="shared" si="0"/>
        <v>66</v>
      </c>
      <c r="AN50" s="15"/>
      <c r="AO50" s="15">
        <f t="shared" si="2"/>
        <v>8</v>
      </c>
      <c r="AP50" s="15"/>
      <c r="AQ50" s="41">
        <v>6</v>
      </c>
      <c r="AR50" s="41">
        <v>2026</v>
      </c>
      <c r="AS50" s="3"/>
      <c r="AT50" s="20"/>
    </row>
    <row r="51" spans="1:46" ht="29.1" hidden="1" customHeight="1">
      <c r="A51" s="2">
        <v>52</v>
      </c>
      <c r="B51" s="2" t="s">
        <v>192</v>
      </c>
      <c r="C51" s="16"/>
      <c r="D51" s="12" t="s">
        <v>191</v>
      </c>
      <c r="E51" s="16" t="s">
        <v>74</v>
      </c>
      <c r="F51" s="17" t="s">
        <v>48</v>
      </c>
      <c r="G51" s="18" t="s">
        <v>193</v>
      </c>
      <c r="H51" s="1"/>
      <c r="I51" s="1"/>
      <c r="J51" s="1"/>
      <c r="K51" s="1">
        <v>8</v>
      </c>
      <c r="L51" s="1">
        <v>4</v>
      </c>
      <c r="M51" s="1">
        <v>4</v>
      </c>
      <c r="N51" s="1">
        <v>4</v>
      </c>
      <c r="O51" s="1">
        <v>4</v>
      </c>
      <c r="P51" s="1"/>
      <c r="Q51" s="1"/>
      <c r="R51" s="1"/>
      <c r="S51" s="1"/>
      <c r="T51" s="1"/>
      <c r="U51" s="1">
        <v>4</v>
      </c>
      <c r="V51" s="1"/>
      <c r="W51" s="1"/>
      <c r="X51" s="1">
        <v>4</v>
      </c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35">
        <f t="shared" si="0"/>
        <v>24</v>
      </c>
      <c r="AN51" s="15"/>
      <c r="AO51" s="15">
        <f t="shared" si="2"/>
        <v>8</v>
      </c>
      <c r="AP51" s="15"/>
      <c r="AQ51" s="41">
        <v>6</v>
      </c>
      <c r="AR51" s="41">
        <v>2026</v>
      </c>
      <c r="AS51" s="16"/>
      <c r="AT51" s="20"/>
    </row>
    <row r="52" spans="1:46" ht="29.1" hidden="1" customHeight="1">
      <c r="A52" s="2">
        <v>53</v>
      </c>
      <c r="B52" s="2" t="s">
        <v>200</v>
      </c>
      <c r="C52" s="16"/>
      <c r="D52" s="12" t="s">
        <v>194</v>
      </c>
      <c r="E52" s="16" t="s">
        <v>77</v>
      </c>
      <c r="F52" s="17" t="s">
        <v>93</v>
      </c>
      <c r="G52" s="18" t="s">
        <v>198</v>
      </c>
      <c r="H52" s="1"/>
      <c r="I52" s="1"/>
      <c r="J52" s="1"/>
      <c r="K52" s="1"/>
      <c r="L52" s="1">
        <v>1</v>
      </c>
      <c r="M52" s="1"/>
      <c r="N52" s="1"/>
      <c r="O52" s="1"/>
      <c r="P52" s="1"/>
      <c r="Q52" s="1"/>
      <c r="R52" s="1">
        <v>5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35">
        <f t="shared" si="0"/>
        <v>1</v>
      </c>
      <c r="AN52" s="15"/>
      <c r="AO52" s="15">
        <f t="shared" si="2"/>
        <v>5</v>
      </c>
      <c r="AP52" s="15"/>
      <c r="AQ52" s="41">
        <v>6</v>
      </c>
      <c r="AR52" s="41">
        <v>2026</v>
      </c>
      <c r="AS52" s="16"/>
      <c r="AT52" s="20"/>
    </row>
    <row r="53" spans="1:46" ht="29.1" hidden="1" customHeight="1">
      <c r="A53" s="2">
        <v>54</v>
      </c>
      <c r="B53" s="2" t="s">
        <v>201</v>
      </c>
      <c r="C53" s="3"/>
      <c r="D53" s="12" t="s">
        <v>195</v>
      </c>
      <c r="E53" s="3" t="s">
        <v>74</v>
      </c>
      <c r="F53" s="25" t="s">
        <v>197</v>
      </c>
      <c r="G53" s="30" t="s">
        <v>199</v>
      </c>
      <c r="H53" s="1">
        <v>4</v>
      </c>
      <c r="I53" s="1">
        <v>6</v>
      </c>
      <c r="J53" s="1"/>
      <c r="K53" s="1"/>
      <c r="L53" s="1">
        <v>2.5</v>
      </c>
      <c r="M53" s="1"/>
      <c r="N53" s="1">
        <v>4</v>
      </c>
      <c r="O53" s="1">
        <v>4</v>
      </c>
      <c r="P53" s="1">
        <v>4</v>
      </c>
      <c r="Q53" s="1"/>
      <c r="R53" s="1"/>
      <c r="S53" s="1"/>
      <c r="T53" s="1">
        <v>4</v>
      </c>
      <c r="U53" s="1">
        <v>4</v>
      </c>
      <c r="V53" s="1"/>
      <c r="W53" s="1"/>
      <c r="X53" s="1">
        <v>4</v>
      </c>
      <c r="Y53" s="1"/>
      <c r="Z53" s="1">
        <v>2</v>
      </c>
      <c r="AA53" s="1">
        <v>2</v>
      </c>
      <c r="AB53" s="1">
        <v>4</v>
      </c>
      <c r="AC53" s="1">
        <v>4</v>
      </c>
      <c r="AD53" s="1">
        <v>3</v>
      </c>
      <c r="AE53" s="1"/>
      <c r="AF53" s="1"/>
      <c r="AG53" s="1">
        <v>4</v>
      </c>
      <c r="AH53" s="1">
        <v>4</v>
      </c>
      <c r="AI53" s="1">
        <v>4</v>
      </c>
      <c r="AJ53" s="1">
        <v>4</v>
      </c>
      <c r="AK53" s="1">
        <v>4</v>
      </c>
      <c r="AL53" s="1">
        <v>4</v>
      </c>
      <c r="AM53" s="35">
        <f t="shared" si="0"/>
        <v>75.5</v>
      </c>
      <c r="AN53" s="15"/>
      <c r="AO53" s="15">
        <f t="shared" si="2"/>
        <v>0</v>
      </c>
      <c r="AP53" s="15"/>
      <c r="AQ53" s="41">
        <v>6</v>
      </c>
      <c r="AR53" s="41">
        <v>2026</v>
      </c>
      <c r="AS53" s="3"/>
      <c r="AT53" s="20"/>
    </row>
    <row r="54" spans="1:46" ht="29.1" hidden="1" customHeight="1">
      <c r="A54" s="2">
        <v>55</v>
      </c>
      <c r="B54" s="2" t="s">
        <v>202</v>
      </c>
      <c r="C54" s="3"/>
      <c r="D54" s="12" t="s">
        <v>196</v>
      </c>
      <c r="E54" s="3" t="s">
        <v>74</v>
      </c>
      <c r="F54" s="25" t="s">
        <v>197</v>
      </c>
      <c r="G54" s="30" t="s">
        <v>199</v>
      </c>
      <c r="H54" s="1">
        <v>4</v>
      </c>
      <c r="I54" s="1">
        <v>4</v>
      </c>
      <c r="J54" s="1"/>
      <c r="K54" s="1"/>
      <c r="L54" s="1">
        <v>4</v>
      </c>
      <c r="M54" s="1"/>
      <c r="N54" s="1">
        <v>4</v>
      </c>
      <c r="O54" s="1">
        <v>4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35">
        <f t="shared" si="0"/>
        <v>20</v>
      </c>
      <c r="AN54" s="15"/>
      <c r="AO54" s="15">
        <f t="shared" si="2"/>
        <v>0</v>
      </c>
      <c r="AP54" s="15"/>
      <c r="AQ54" s="41">
        <v>6</v>
      </c>
      <c r="AR54" s="41">
        <v>2026</v>
      </c>
      <c r="AS54" s="3"/>
      <c r="AT54" s="20"/>
    </row>
    <row r="55" spans="1:46" s="9" customFormat="1" ht="29.1" hidden="1" customHeight="1">
      <c r="A55" s="2">
        <v>56</v>
      </c>
      <c r="B55" s="26" t="s">
        <v>204</v>
      </c>
      <c r="C55" s="8"/>
      <c r="D55" s="31" t="s">
        <v>205</v>
      </c>
      <c r="E55" s="8" t="s">
        <v>74</v>
      </c>
      <c r="F55" s="27" t="s">
        <v>197</v>
      </c>
      <c r="G55" s="36" t="s">
        <v>217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35">
        <f t="shared" si="0"/>
        <v>0</v>
      </c>
      <c r="AN55" s="15"/>
      <c r="AO55" s="15">
        <f t="shared" si="2"/>
        <v>0</v>
      </c>
      <c r="AP55" s="28"/>
      <c r="AQ55" s="41">
        <v>6</v>
      </c>
      <c r="AR55" s="41">
        <v>2026</v>
      </c>
      <c r="AS55" s="8"/>
      <c r="AT55" s="21"/>
    </row>
    <row r="56" spans="1:46" ht="29.1" hidden="1" customHeight="1">
      <c r="A56" s="2">
        <v>57</v>
      </c>
      <c r="B56" s="2" t="s">
        <v>206</v>
      </c>
      <c r="C56" s="16"/>
      <c r="D56" s="12" t="s">
        <v>207</v>
      </c>
      <c r="E56" s="16" t="s">
        <v>74</v>
      </c>
      <c r="F56" s="17" t="s">
        <v>197</v>
      </c>
      <c r="G56" s="18" t="s">
        <v>208</v>
      </c>
      <c r="H56" s="1">
        <v>4</v>
      </c>
      <c r="I56" s="1">
        <v>4</v>
      </c>
      <c r="J56" s="1">
        <v>4</v>
      </c>
      <c r="K56" s="1">
        <v>8</v>
      </c>
      <c r="L56" s="1">
        <v>4</v>
      </c>
      <c r="M56" s="1"/>
      <c r="N56" s="1">
        <v>4</v>
      </c>
      <c r="O56" s="1">
        <v>4</v>
      </c>
      <c r="P56" s="1">
        <v>4</v>
      </c>
      <c r="Q56" s="1">
        <v>4</v>
      </c>
      <c r="R56" s="1"/>
      <c r="S56" s="1">
        <v>1</v>
      </c>
      <c r="T56" s="1"/>
      <c r="U56" s="1"/>
      <c r="V56" s="1"/>
      <c r="W56" s="1"/>
      <c r="X56" s="1">
        <v>3</v>
      </c>
      <c r="Y56" s="1"/>
      <c r="Z56" s="1"/>
      <c r="AA56" s="1"/>
      <c r="AB56" s="1"/>
      <c r="AC56" s="1">
        <v>2</v>
      </c>
      <c r="AD56" s="1"/>
      <c r="AE56" s="1"/>
      <c r="AF56" s="1"/>
      <c r="AG56" s="1"/>
      <c r="AH56" s="1">
        <v>2</v>
      </c>
      <c r="AI56" s="1"/>
      <c r="AJ56" s="1"/>
      <c r="AK56" s="1"/>
      <c r="AL56" s="1">
        <v>4</v>
      </c>
      <c r="AM56" s="35">
        <f t="shared" si="0"/>
        <v>44</v>
      </c>
      <c r="AN56" s="15"/>
      <c r="AO56" s="15">
        <f t="shared" si="2"/>
        <v>8</v>
      </c>
      <c r="AP56" s="15"/>
      <c r="AQ56" s="41">
        <v>6</v>
      </c>
      <c r="AR56" s="41">
        <v>2026</v>
      </c>
      <c r="AS56" s="3"/>
      <c r="AT56" s="20"/>
    </row>
    <row r="57" spans="1:46" ht="29.1" hidden="1" customHeight="1">
      <c r="A57" s="2">
        <v>58</v>
      </c>
      <c r="B57" s="2" t="s">
        <v>209</v>
      </c>
      <c r="C57" s="16"/>
      <c r="D57" s="12" t="s">
        <v>213</v>
      </c>
      <c r="E57" s="16" t="s">
        <v>74</v>
      </c>
      <c r="F57" s="17" t="s">
        <v>197</v>
      </c>
      <c r="G57" s="18" t="s">
        <v>208</v>
      </c>
      <c r="H57" s="1"/>
      <c r="I57" s="1"/>
      <c r="J57" s="1"/>
      <c r="K57" s="1"/>
      <c r="L57" s="1"/>
      <c r="M57" s="1">
        <v>4</v>
      </c>
      <c r="N57" s="1">
        <v>4</v>
      </c>
      <c r="O57" s="1">
        <v>4</v>
      </c>
      <c r="P57" s="1">
        <v>4</v>
      </c>
      <c r="Q57" s="1"/>
      <c r="R57" s="1"/>
      <c r="S57" s="1">
        <v>4</v>
      </c>
      <c r="T57" s="1"/>
      <c r="U57" s="1">
        <v>4</v>
      </c>
      <c r="V57" s="1"/>
      <c r="W57" s="1"/>
      <c r="X57" s="1"/>
      <c r="Y57" s="1"/>
      <c r="Z57" s="1">
        <v>4</v>
      </c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35">
        <f t="shared" si="0"/>
        <v>28</v>
      </c>
      <c r="AN57" s="15"/>
      <c r="AO57" s="15">
        <f t="shared" si="2"/>
        <v>0</v>
      </c>
      <c r="AP57" s="15"/>
      <c r="AQ57" s="41">
        <v>6</v>
      </c>
      <c r="AR57" s="41">
        <v>2026</v>
      </c>
      <c r="AS57" s="16"/>
      <c r="AT57" s="20"/>
    </row>
    <row r="58" spans="1:46" ht="29.1" hidden="1" customHeight="1">
      <c r="A58" s="2">
        <v>59</v>
      </c>
      <c r="B58" s="2" t="s">
        <v>210</v>
      </c>
      <c r="C58" s="16"/>
      <c r="D58" s="12" t="s">
        <v>214</v>
      </c>
      <c r="E58" s="16" t="s">
        <v>74</v>
      </c>
      <c r="F58" s="17" t="s">
        <v>197</v>
      </c>
      <c r="G58" s="18" t="s">
        <v>208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35">
        <f t="shared" si="0"/>
        <v>0</v>
      </c>
      <c r="AN58" s="15"/>
      <c r="AO58" s="15">
        <f t="shared" si="2"/>
        <v>0</v>
      </c>
      <c r="AP58" s="15"/>
      <c r="AQ58" s="41">
        <v>6</v>
      </c>
      <c r="AR58" s="41">
        <v>2026</v>
      </c>
      <c r="AS58" s="16"/>
      <c r="AT58" s="20"/>
    </row>
    <row r="59" spans="1:46" ht="29.1" hidden="1" customHeight="1">
      <c r="A59" s="2">
        <v>60</v>
      </c>
      <c r="B59" s="2" t="s">
        <v>211</v>
      </c>
      <c r="C59" s="3"/>
      <c r="D59" s="12" t="s">
        <v>215</v>
      </c>
      <c r="E59" s="3" t="s">
        <v>74</v>
      </c>
      <c r="F59" s="25" t="s">
        <v>197</v>
      </c>
      <c r="G59" s="30" t="s">
        <v>208</v>
      </c>
      <c r="H59" s="1">
        <v>4</v>
      </c>
      <c r="I59" s="1">
        <v>4</v>
      </c>
      <c r="J59" s="1"/>
      <c r="K59" s="1">
        <v>8</v>
      </c>
      <c r="L59" s="1">
        <v>4</v>
      </c>
      <c r="M59" s="1">
        <v>4</v>
      </c>
      <c r="N59" s="1">
        <v>4</v>
      </c>
      <c r="O59" s="1">
        <v>4</v>
      </c>
      <c r="P59" s="1">
        <v>4</v>
      </c>
      <c r="Q59" s="1"/>
      <c r="R59" s="1"/>
      <c r="S59" s="1"/>
      <c r="T59" s="1"/>
      <c r="U59" s="1"/>
      <c r="V59" s="1"/>
      <c r="W59" s="1"/>
      <c r="X59" s="1">
        <v>4</v>
      </c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35">
        <f t="shared" si="0"/>
        <v>32</v>
      </c>
      <c r="AN59" s="15"/>
      <c r="AO59" s="15">
        <f t="shared" si="2"/>
        <v>8</v>
      </c>
      <c r="AP59" s="15"/>
      <c r="AQ59" s="41">
        <v>6</v>
      </c>
      <c r="AR59" s="41">
        <v>2026</v>
      </c>
      <c r="AS59" s="3"/>
      <c r="AT59" s="20"/>
    </row>
    <row r="60" spans="1:46" ht="29.1" hidden="1" customHeight="1">
      <c r="A60" s="2">
        <v>61</v>
      </c>
      <c r="B60" s="2" t="s">
        <v>212</v>
      </c>
      <c r="C60" s="3"/>
      <c r="D60" s="12" t="s">
        <v>216</v>
      </c>
      <c r="E60" s="3" t="s">
        <v>74</v>
      </c>
      <c r="F60" s="25" t="s">
        <v>197</v>
      </c>
      <c r="G60" s="30" t="s">
        <v>208</v>
      </c>
      <c r="H60" s="1">
        <v>6</v>
      </c>
      <c r="I60" s="1">
        <v>6</v>
      </c>
      <c r="J60" s="1">
        <v>10</v>
      </c>
      <c r="K60" s="1">
        <v>8</v>
      </c>
      <c r="L60" s="1">
        <v>4</v>
      </c>
      <c r="M60" s="1">
        <v>4</v>
      </c>
      <c r="N60" s="1">
        <v>4</v>
      </c>
      <c r="O60" s="1">
        <v>6</v>
      </c>
      <c r="P60" s="1">
        <v>4</v>
      </c>
      <c r="Q60" s="1">
        <v>6</v>
      </c>
      <c r="R60" s="1"/>
      <c r="S60" s="1">
        <v>4</v>
      </c>
      <c r="T60" s="1">
        <v>2</v>
      </c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>
        <v>4</v>
      </c>
      <c r="AH60" s="1"/>
      <c r="AI60" s="1"/>
      <c r="AJ60" s="1"/>
      <c r="AK60" s="1"/>
      <c r="AL60" s="1"/>
      <c r="AM60" s="35">
        <f t="shared" si="0"/>
        <v>60</v>
      </c>
      <c r="AN60" s="15"/>
      <c r="AO60" s="15">
        <f t="shared" si="2"/>
        <v>8</v>
      </c>
      <c r="AP60" s="15"/>
      <c r="AQ60" s="41">
        <v>6</v>
      </c>
      <c r="AR60" s="41">
        <v>2026</v>
      </c>
      <c r="AS60" s="3"/>
      <c r="AT60" s="20">
        <v>1</v>
      </c>
    </row>
    <row r="61" spans="1:46" s="9" customFormat="1" ht="29.1" hidden="1" customHeight="1">
      <c r="A61" s="2">
        <v>62</v>
      </c>
      <c r="B61" s="26" t="s">
        <v>220</v>
      </c>
      <c r="C61" s="8"/>
      <c r="D61" s="31" t="s">
        <v>222</v>
      </c>
      <c r="E61" s="8" t="s">
        <v>74</v>
      </c>
      <c r="F61" s="27" t="s">
        <v>197</v>
      </c>
      <c r="G61" s="32" t="s">
        <v>224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35">
        <f t="shared" si="0"/>
        <v>0</v>
      </c>
      <c r="AN61" s="15"/>
      <c r="AO61" s="15">
        <f t="shared" si="2"/>
        <v>0</v>
      </c>
      <c r="AP61" s="28"/>
      <c r="AQ61" s="41">
        <v>6</v>
      </c>
      <c r="AR61" s="41">
        <v>2026</v>
      </c>
      <c r="AS61" s="8"/>
      <c r="AT61" s="21"/>
    </row>
    <row r="62" spans="1:46" ht="29.1" hidden="1" customHeight="1">
      <c r="A62" s="2">
        <v>63</v>
      </c>
      <c r="B62" s="2" t="s">
        <v>221</v>
      </c>
      <c r="C62" s="3"/>
      <c r="D62" s="12" t="s">
        <v>223</v>
      </c>
      <c r="E62" s="3" t="s">
        <v>74</v>
      </c>
      <c r="F62" s="25" t="s">
        <v>197</v>
      </c>
      <c r="G62" s="14" t="s">
        <v>224</v>
      </c>
      <c r="H62" s="1">
        <v>4</v>
      </c>
      <c r="I62" s="1">
        <v>4</v>
      </c>
      <c r="J62" s="1">
        <v>1</v>
      </c>
      <c r="K62" s="1">
        <v>8</v>
      </c>
      <c r="L62" s="1"/>
      <c r="M62" s="1">
        <v>4</v>
      </c>
      <c r="N62" s="1">
        <v>4</v>
      </c>
      <c r="O62" s="1">
        <v>4</v>
      </c>
      <c r="P62" s="1">
        <v>4</v>
      </c>
      <c r="Q62" s="1"/>
      <c r="R62" s="1"/>
      <c r="S62" s="1">
        <v>2</v>
      </c>
      <c r="T62" s="1"/>
      <c r="U62" s="1">
        <v>4</v>
      </c>
      <c r="V62" s="1"/>
      <c r="W62" s="1"/>
      <c r="X62" s="1">
        <v>3</v>
      </c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>
        <v>1</v>
      </c>
      <c r="AK62" s="1"/>
      <c r="AL62" s="1">
        <v>4</v>
      </c>
      <c r="AM62" s="35">
        <f t="shared" si="0"/>
        <v>39</v>
      </c>
      <c r="AN62" s="15"/>
      <c r="AO62" s="15">
        <f t="shared" si="2"/>
        <v>8</v>
      </c>
      <c r="AP62" s="15"/>
      <c r="AQ62" s="41">
        <v>6</v>
      </c>
      <c r="AR62" s="41">
        <v>2026</v>
      </c>
      <c r="AS62" s="3"/>
      <c r="AT62" s="20"/>
    </row>
    <row r="63" spans="1:46" ht="29.1" hidden="1" customHeight="1">
      <c r="A63" s="2">
        <v>64</v>
      </c>
      <c r="B63" s="2" t="s">
        <v>228</v>
      </c>
      <c r="C63" s="3"/>
      <c r="D63" s="12" t="s">
        <v>229</v>
      </c>
      <c r="E63" s="3" t="s">
        <v>95</v>
      </c>
      <c r="F63" s="25" t="s">
        <v>230</v>
      </c>
      <c r="G63" s="14" t="s">
        <v>231</v>
      </c>
      <c r="H63" s="1">
        <v>1</v>
      </c>
      <c r="I63" s="1">
        <v>2</v>
      </c>
      <c r="J63" s="1">
        <v>2</v>
      </c>
      <c r="K63" s="1">
        <v>8</v>
      </c>
      <c r="L63" s="1">
        <v>1</v>
      </c>
      <c r="M63" s="1">
        <v>1</v>
      </c>
      <c r="N63" s="1">
        <v>1</v>
      </c>
      <c r="O63" s="1">
        <v>1</v>
      </c>
      <c r="P63" s="1">
        <v>7.5</v>
      </c>
      <c r="Q63" s="1">
        <v>2</v>
      </c>
      <c r="R63" s="1"/>
      <c r="S63" s="1">
        <v>1</v>
      </c>
      <c r="T63" s="1">
        <v>1</v>
      </c>
      <c r="U63" s="1">
        <v>2</v>
      </c>
      <c r="V63" s="1">
        <v>1</v>
      </c>
      <c r="W63" s="1">
        <v>4</v>
      </c>
      <c r="X63" s="1">
        <v>2</v>
      </c>
      <c r="Y63" s="1"/>
      <c r="Z63" s="1">
        <v>2</v>
      </c>
      <c r="AA63" s="1">
        <v>2</v>
      </c>
      <c r="AB63" s="1">
        <v>2</v>
      </c>
      <c r="AC63" s="1">
        <v>1</v>
      </c>
      <c r="AD63" s="1">
        <v>2</v>
      </c>
      <c r="AE63" s="1">
        <v>2</v>
      </c>
      <c r="AF63" s="1"/>
      <c r="AG63" s="1">
        <v>1.5</v>
      </c>
      <c r="AH63" s="1">
        <v>1.5</v>
      </c>
      <c r="AI63" s="1">
        <v>1.5</v>
      </c>
      <c r="AJ63" s="1">
        <v>1</v>
      </c>
      <c r="AK63" s="1">
        <v>2</v>
      </c>
      <c r="AL63" s="1">
        <v>2</v>
      </c>
      <c r="AM63" s="35">
        <f t="shared" si="0"/>
        <v>48.5</v>
      </c>
      <c r="AN63" s="15">
        <v>1.5</v>
      </c>
      <c r="AO63" s="15">
        <f t="shared" si="2"/>
        <v>8</v>
      </c>
      <c r="AP63" s="15"/>
      <c r="AQ63" s="41">
        <v>6</v>
      </c>
      <c r="AR63" s="41">
        <v>2026</v>
      </c>
      <c r="AS63" s="3"/>
      <c r="AT63" s="20"/>
    </row>
    <row r="64" spans="1:46" ht="29.1" hidden="1" customHeight="1">
      <c r="A64" s="2">
        <v>65</v>
      </c>
      <c r="B64" s="2" t="s">
        <v>234</v>
      </c>
      <c r="C64" s="3"/>
      <c r="D64" s="12" t="s">
        <v>235</v>
      </c>
      <c r="E64" s="3" t="s">
        <v>74</v>
      </c>
      <c r="F64" s="25" t="s">
        <v>197</v>
      </c>
      <c r="G64" s="14" t="s">
        <v>236</v>
      </c>
      <c r="H64" s="1">
        <v>6</v>
      </c>
      <c r="I64" s="1">
        <v>6</v>
      </c>
      <c r="J64" s="1">
        <v>2</v>
      </c>
      <c r="K64" s="1"/>
      <c r="L64" s="1"/>
      <c r="M64" s="1">
        <v>4</v>
      </c>
      <c r="N64" s="1">
        <v>4</v>
      </c>
      <c r="O64" s="1"/>
      <c r="P64" s="1">
        <v>6</v>
      </c>
      <c r="Q64" s="1"/>
      <c r="R64" s="1"/>
      <c r="S64" s="1">
        <v>6</v>
      </c>
      <c r="T64" s="1">
        <v>4</v>
      </c>
      <c r="U64" s="1">
        <v>6</v>
      </c>
      <c r="V64" s="1">
        <v>2</v>
      </c>
      <c r="W64" s="1">
        <v>6</v>
      </c>
      <c r="X64" s="1">
        <v>2</v>
      </c>
      <c r="Y64" s="1"/>
      <c r="Z64" s="1">
        <v>4</v>
      </c>
      <c r="AA64" s="1">
        <v>4</v>
      </c>
      <c r="AB64" s="1">
        <v>4</v>
      </c>
      <c r="AC64" s="1">
        <v>4</v>
      </c>
      <c r="AD64" s="1">
        <v>5</v>
      </c>
      <c r="AE64" s="1">
        <v>2</v>
      </c>
      <c r="AF64" s="1"/>
      <c r="AG64" s="1">
        <v>6</v>
      </c>
      <c r="AH64" s="1">
        <v>4</v>
      </c>
      <c r="AI64" s="1">
        <v>4</v>
      </c>
      <c r="AJ64" s="1">
        <v>4</v>
      </c>
      <c r="AK64" s="1">
        <v>4</v>
      </c>
      <c r="AL64" s="1">
        <v>4</v>
      </c>
      <c r="AM64" s="35">
        <f t="shared" si="0"/>
        <v>103</v>
      </c>
      <c r="AN64" s="15"/>
      <c r="AO64" s="15">
        <f t="shared" si="2"/>
        <v>0</v>
      </c>
      <c r="AP64" s="15"/>
      <c r="AQ64" s="41">
        <v>6</v>
      </c>
      <c r="AR64" s="41">
        <v>2026</v>
      </c>
      <c r="AS64" s="3"/>
      <c r="AT64" s="20"/>
    </row>
    <row r="65" spans="1:46" s="9" customFormat="1" ht="29.1" hidden="1" customHeight="1">
      <c r="A65" s="2">
        <v>66</v>
      </c>
      <c r="B65" s="26" t="s">
        <v>251</v>
      </c>
      <c r="C65" s="8"/>
      <c r="D65" s="31" t="s">
        <v>237</v>
      </c>
      <c r="E65" s="8" t="s">
        <v>74</v>
      </c>
      <c r="F65" s="27" t="s">
        <v>197</v>
      </c>
      <c r="G65" s="32" t="s">
        <v>245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35">
        <f t="shared" si="0"/>
        <v>0</v>
      </c>
      <c r="AN65" s="15"/>
      <c r="AO65" s="15">
        <f t="shared" si="2"/>
        <v>0</v>
      </c>
      <c r="AP65" s="28"/>
      <c r="AQ65" s="41">
        <v>6</v>
      </c>
      <c r="AR65" s="41">
        <v>2026</v>
      </c>
      <c r="AS65" s="8"/>
      <c r="AT65" s="21"/>
    </row>
    <row r="66" spans="1:46" s="9" customFormat="1" ht="29.1" hidden="1" customHeight="1">
      <c r="A66" s="2">
        <v>67</v>
      </c>
      <c r="B66" s="26" t="s">
        <v>252</v>
      </c>
      <c r="C66" s="8"/>
      <c r="D66" s="31" t="s">
        <v>238</v>
      </c>
      <c r="E66" s="8" t="s">
        <v>74</v>
      </c>
      <c r="F66" s="27" t="s">
        <v>197</v>
      </c>
      <c r="G66" s="32" t="s">
        <v>245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35">
        <f t="shared" si="0"/>
        <v>0</v>
      </c>
      <c r="AN66" s="15"/>
      <c r="AO66" s="15">
        <f t="shared" si="2"/>
        <v>0</v>
      </c>
      <c r="AP66" s="28"/>
      <c r="AQ66" s="41">
        <v>6</v>
      </c>
      <c r="AR66" s="41">
        <v>2026</v>
      </c>
      <c r="AS66" s="8"/>
      <c r="AT66" s="21"/>
    </row>
    <row r="67" spans="1:46" s="9" customFormat="1" ht="29.1" hidden="1" customHeight="1">
      <c r="A67" s="2">
        <v>68</v>
      </c>
      <c r="B67" s="26" t="s">
        <v>253</v>
      </c>
      <c r="C67" s="8"/>
      <c r="D67" s="31" t="s">
        <v>239</v>
      </c>
      <c r="E67" s="8" t="s">
        <v>74</v>
      </c>
      <c r="F67" s="27" t="s">
        <v>197</v>
      </c>
      <c r="G67" s="32" t="s">
        <v>245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35">
        <f t="shared" si="0"/>
        <v>0</v>
      </c>
      <c r="AN67" s="15"/>
      <c r="AO67" s="15">
        <f t="shared" si="2"/>
        <v>0</v>
      </c>
      <c r="AP67" s="28"/>
      <c r="AQ67" s="41">
        <v>6</v>
      </c>
      <c r="AR67" s="41">
        <v>2026</v>
      </c>
      <c r="AS67" s="8"/>
      <c r="AT67" s="21"/>
    </row>
    <row r="68" spans="1:46" ht="29.1" hidden="1" customHeight="1">
      <c r="A68" s="2">
        <v>69</v>
      </c>
      <c r="B68" s="2" t="s">
        <v>254</v>
      </c>
      <c r="C68" s="16"/>
      <c r="D68" s="12" t="s">
        <v>240</v>
      </c>
      <c r="E68" s="16" t="s">
        <v>74</v>
      </c>
      <c r="F68" s="17" t="s">
        <v>197</v>
      </c>
      <c r="G68" s="14" t="s">
        <v>246</v>
      </c>
      <c r="H68" s="1"/>
      <c r="I68" s="1">
        <v>4</v>
      </c>
      <c r="J68" s="1">
        <v>4</v>
      </c>
      <c r="K68" s="1">
        <v>8</v>
      </c>
      <c r="L68" s="1"/>
      <c r="M68" s="1">
        <v>4</v>
      </c>
      <c r="N68" s="1">
        <v>4</v>
      </c>
      <c r="O68" s="1">
        <v>4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35">
        <f t="shared" si="0"/>
        <v>20</v>
      </c>
      <c r="AN68" s="15"/>
      <c r="AO68" s="15">
        <f t="shared" si="2"/>
        <v>8</v>
      </c>
      <c r="AP68" s="15"/>
      <c r="AQ68" s="41">
        <v>6</v>
      </c>
      <c r="AR68" s="41">
        <v>2026</v>
      </c>
      <c r="AS68" s="16"/>
      <c r="AT68" s="20"/>
    </row>
    <row r="69" spans="1:46" s="9" customFormat="1" ht="29.1" hidden="1" customHeight="1">
      <c r="A69" s="2">
        <v>70</v>
      </c>
      <c r="B69" s="26" t="s">
        <v>255</v>
      </c>
      <c r="C69" s="8"/>
      <c r="D69" s="31" t="s">
        <v>241</v>
      </c>
      <c r="E69" s="8" t="s">
        <v>74</v>
      </c>
      <c r="F69" s="27" t="s">
        <v>197</v>
      </c>
      <c r="G69" s="32" t="s">
        <v>247</v>
      </c>
      <c r="H69" s="1"/>
      <c r="I69" s="1">
        <v>4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35">
        <f t="shared" si="0"/>
        <v>4</v>
      </c>
      <c r="AN69" s="15"/>
      <c r="AO69" s="15">
        <f t="shared" si="2"/>
        <v>0</v>
      </c>
      <c r="AP69" s="28"/>
      <c r="AQ69" s="41">
        <v>6</v>
      </c>
      <c r="AR69" s="41">
        <v>2026</v>
      </c>
      <c r="AS69" s="8"/>
      <c r="AT69" s="21"/>
    </row>
    <row r="70" spans="1:46" ht="29.1" hidden="1" customHeight="1">
      <c r="A70" s="2">
        <v>71</v>
      </c>
      <c r="B70" s="2" t="s">
        <v>270</v>
      </c>
      <c r="C70" s="16"/>
      <c r="D70" s="12" t="s">
        <v>271</v>
      </c>
      <c r="E70" s="16" t="s">
        <v>74</v>
      </c>
      <c r="F70" s="17" t="s">
        <v>197</v>
      </c>
      <c r="G70" s="14" t="s">
        <v>247</v>
      </c>
      <c r="H70" s="1">
        <v>4</v>
      </c>
      <c r="I70" s="1">
        <v>4</v>
      </c>
      <c r="J70" s="1">
        <v>1</v>
      </c>
      <c r="K70" s="1">
        <v>8</v>
      </c>
      <c r="L70" s="1"/>
      <c r="M70" s="1"/>
      <c r="N70" s="1">
        <v>4</v>
      </c>
      <c r="O70" s="1">
        <v>4</v>
      </c>
      <c r="P70" s="1">
        <v>4</v>
      </c>
      <c r="Q70" s="1"/>
      <c r="R70" s="1"/>
      <c r="S70" s="1"/>
      <c r="T70" s="1">
        <v>4</v>
      </c>
      <c r="U70" s="1">
        <v>1</v>
      </c>
      <c r="V70" s="1"/>
      <c r="W70" s="1"/>
      <c r="X70" s="1">
        <v>3</v>
      </c>
      <c r="Y70" s="1"/>
      <c r="Z70" s="1"/>
      <c r="AA70" s="1"/>
      <c r="AB70" s="1">
        <v>4</v>
      </c>
      <c r="AC70" s="1">
        <v>2</v>
      </c>
      <c r="AD70" s="1"/>
      <c r="AE70" s="1"/>
      <c r="AF70" s="1"/>
      <c r="AG70" s="1"/>
      <c r="AH70" s="1"/>
      <c r="AI70" s="1"/>
      <c r="AJ70" s="1"/>
      <c r="AK70" s="1"/>
      <c r="AL70" s="1">
        <v>4</v>
      </c>
      <c r="AM70" s="35">
        <f t="shared" si="0"/>
        <v>39</v>
      </c>
      <c r="AN70" s="15"/>
      <c r="AO70" s="15">
        <f t="shared" si="2"/>
        <v>8</v>
      </c>
      <c r="AP70" s="15"/>
      <c r="AQ70" s="41">
        <v>6</v>
      </c>
      <c r="AR70" s="41">
        <v>2026</v>
      </c>
      <c r="AS70" s="16"/>
      <c r="AT70" s="20"/>
    </row>
    <row r="71" spans="1:46" ht="29.1" hidden="1" customHeight="1">
      <c r="A71" s="2">
        <v>72</v>
      </c>
      <c r="B71" s="2" t="s">
        <v>266</v>
      </c>
      <c r="C71" s="3"/>
      <c r="D71" s="12" t="s">
        <v>242</v>
      </c>
      <c r="E71" s="3" t="s">
        <v>74</v>
      </c>
      <c r="F71" s="25" t="s">
        <v>197</v>
      </c>
      <c r="G71" s="14" t="s">
        <v>247</v>
      </c>
      <c r="H71" s="1">
        <v>4</v>
      </c>
      <c r="I71" s="1">
        <v>4</v>
      </c>
      <c r="J71" s="1">
        <v>4</v>
      </c>
      <c r="K71" s="1">
        <v>8</v>
      </c>
      <c r="L71" s="1">
        <v>4</v>
      </c>
      <c r="M71" s="1">
        <v>4</v>
      </c>
      <c r="N71" s="1">
        <v>4</v>
      </c>
      <c r="O71" s="1">
        <v>6</v>
      </c>
      <c r="P71" s="1">
        <v>4</v>
      </c>
      <c r="Q71" s="1">
        <v>6</v>
      </c>
      <c r="R71" s="1"/>
      <c r="S71" s="1"/>
      <c r="T71" s="1">
        <v>4</v>
      </c>
      <c r="U71" s="1">
        <v>4</v>
      </c>
      <c r="V71" s="1">
        <v>4</v>
      </c>
      <c r="W71" s="1"/>
      <c r="X71" s="1"/>
      <c r="Y71" s="1"/>
      <c r="Z71" s="1">
        <v>4</v>
      </c>
      <c r="AA71" s="1"/>
      <c r="AB71" s="1">
        <v>4</v>
      </c>
      <c r="AC71" s="1">
        <v>4</v>
      </c>
      <c r="AD71" s="1"/>
      <c r="AE71" s="1"/>
      <c r="AF71" s="1"/>
      <c r="AG71" s="1"/>
      <c r="AH71" s="1"/>
      <c r="AI71" s="1"/>
      <c r="AJ71" s="1"/>
      <c r="AK71" s="1"/>
      <c r="AL71" s="1"/>
      <c r="AM71" s="35">
        <f t="shared" si="0"/>
        <v>64</v>
      </c>
      <c r="AN71" s="15"/>
      <c r="AO71" s="15">
        <f t="shared" si="2"/>
        <v>8</v>
      </c>
      <c r="AP71" s="15"/>
      <c r="AQ71" s="41">
        <v>6</v>
      </c>
      <c r="AR71" s="41">
        <v>2026</v>
      </c>
      <c r="AS71" s="3"/>
      <c r="AT71" s="20"/>
    </row>
    <row r="72" spans="1:46" s="9" customFormat="1" ht="29.1" hidden="1" customHeight="1">
      <c r="A72" s="2">
        <v>73</v>
      </c>
      <c r="B72" s="26" t="s">
        <v>256</v>
      </c>
      <c r="C72" s="8"/>
      <c r="D72" s="31" t="s">
        <v>243</v>
      </c>
      <c r="E72" s="8" t="s">
        <v>74</v>
      </c>
      <c r="F72" s="27" t="s">
        <v>197</v>
      </c>
      <c r="G72" s="32" t="s">
        <v>248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35">
        <f t="shared" si="0"/>
        <v>0</v>
      </c>
      <c r="AN72" s="15"/>
      <c r="AO72" s="15">
        <f t="shared" si="2"/>
        <v>0</v>
      </c>
      <c r="AP72" s="28"/>
      <c r="AQ72" s="41">
        <v>6</v>
      </c>
      <c r="AR72" s="41">
        <v>2026</v>
      </c>
      <c r="AS72" s="8"/>
      <c r="AT72" s="21"/>
    </row>
    <row r="73" spans="1:46" ht="29.1" hidden="1" customHeight="1">
      <c r="A73" s="2">
        <v>74</v>
      </c>
      <c r="B73" s="2" t="s">
        <v>257</v>
      </c>
      <c r="C73" s="3"/>
      <c r="D73" s="12" t="s">
        <v>244</v>
      </c>
      <c r="E73" s="3" t="s">
        <v>95</v>
      </c>
      <c r="F73" s="25" t="s">
        <v>105</v>
      </c>
      <c r="G73" s="14" t="s">
        <v>250</v>
      </c>
      <c r="H73" s="1">
        <v>4</v>
      </c>
      <c r="I73" s="1">
        <v>2</v>
      </c>
      <c r="J73" s="1"/>
      <c r="K73" s="1"/>
      <c r="L73" s="1"/>
      <c r="M73" s="1">
        <v>2</v>
      </c>
      <c r="N73" s="1">
        <v>4</v>
      </c>
      <c r="O73" s="1">
        <v>2</v>
      </c>
      <c r="P73" s="1">
        <v>2</v>
      </c>
      <c r="Q73" s="1"/>
      <c r="R73" s="1"/>
      <c r="S73" s="1">
        <v>2</v>
      </c>
      <c r="T73" s="1">
        <v>2</v>
      </c>
      <c r="U73" s="1">
        <v>2</v>
      </c>
      <c r="V73" s="1">
        <v>2</v>
      </c>
      <c r="W73" s="1">
        <v>2</v>
      </c>
      <c r="X73" s="1">
        <v>4</v>
      </c>
      <c r="Y73" s="1"/>
      <c r="Z73" s="1">
        <v>2</v>
      </c>
      <c r="AA73" s="1">
        <v>2</v>
      </c>
      <c r="AB73" s="1">
        <v>2</v>
      </c>
      <c r="AC73" s="1"/>
      <c r="AD73" s="1">
        <v>2</v>
      </c>
      <c r="AE73" s="1">
        <v>2</v>
      </c>
      <c r="AF73" s="1"/>
      <c r="AG73" s="1">
        <v>2</v>
      </c>
      <c r="AH73" s="1">
        <v>2</v>
      </c>
      <c r="AI73" s="1">
        <v>2</v>
      </c>
      <c r="AJ73" s="1"/>
      <c r="AK73" s="1">
        <v>2</v>
      </c>
      <c r="AL73" s="1">
        <v>2</v>
      </c>
      <c r="AM73" s="35">
        <f t="shared" ref="AM73:AM125" si="3">SUM(H73:AL73)-AN73-AO73</f>
        <v>50</v>
      </c>
      <c r="AN73" s="15"/>
      <c r="AO73" s="15">
        <f t="shared" si="2"/>
        <v>0</v>
      </c>
      <c r="AP73" s="15"/>
      <c r="AQ73" s="41">
        <v>6</v>
      </c>
      <c r="AR73" s="41">
        <v>2026</v>
      </c>
      <c r="AS73" s="3"/>
      <c r="AT73" s="20"/>
    </row>
    <row r="74" spans="1:46" ht="29.1" hidden="1" customHeight="1">
      <c r="A74" s="2">
        <v>75</v>
      </c>
      <c r="B74" s="2" t="s">
        <v>258</v>
      </c>
      <c r="C74" s="3"/>
      <c r="D74" s="12" t="s">
        <v>261</v>
      </c>
      <c r="E74" s="3" t="s">
        <v>95</v>
      </c>
      <c r="F74" s="25" t="s">
        <v>96</v>
      </c>
      <c r="G74" s="14" t="s">
        <v>264</v>
      </c>
      <c r="H74" s="1">
        <v>1</v>
      </c>
      <c r="I74" s="1">
        <v>2</v>
      </c>
      <c r="J74" s="1">
        <v>1</v>
      </c>
      <c r="K74" s="1"/>
      <c r="L74" s="1">
        <v>1</v>
      </c>
      <c r="M74" s="1">
        <v>1</v>
      </c>
      <c r="N74" s="1">
        <v>1</v>
      </c>
      <c r="O74" s="1">
        <v>4</v>
      </c>
      <c r="P74" s="1"/>
      <c r="Q74" s="1"/>
      <c r="R74" s="1">
        <v>8</v>
      </c>
      <c r="S74" s="1">
        <v>1</v>
      </c>
      <c r="T74" s="1">
        <v>1</v>
      </c>
      <c r="U74" s="1">
        <v>2</v>
      </c>
      <c r="V74" s="1"/>
      <c r="W74" s="1">
        <v>4</v>
      </c>
      <c r="X74" s="1"/>
      <c r="Y74" s="1"/>
      <c r="Z74" s="1">
        <v>2</v>
      </c>
      <c r="AA74" s="1">
        <v>2</v>
      </c>
      <c r="AB74" s="1"/>
      <c r="AC74" s="1">
        <v>1</v>
      </c>
      <c r="AD74" s="1">
        <v>1</v>
      </c>
      <c r="AE74" s="1">
        <v>1</v>
      </c>
      <c r="AF74" s="1"/>
      <c r="AG74" s="1">
        <v>1.5</v>
      </c>
      <c r="AH74" s="1">
        <v>1.5</v>
      </c>
      <c r="AI74" s="1">
        <v>1.5</v>
      </c>
      <c r="AJ74" s="1">
        <v>1</v>
      </c>
      <c r="AK74" s="1">
        <v>2</v>
      </c>
      <c r="AL74" s="1">
        <v>2</v>
      </c>
      <c r="AM74" s="35">
        <f t="shared" si="3"/>
        <v>35.5</v>
      </c>
      <c r="AN74" s="15"/>
      <c r="AO74" s="15">
        <f t="shared" si="2"/>
        <v>8</v>
      </c>
      <c r="AP74" s="15"/>
      <c r="AQ74" s="41">
        <v>6</v>
      </c>
      <c r="AR74" s="41">
        <v>2026</v>
      </c>
      <c r="AS74" s="3"/>
      <c r="AT74" s="20"/>
    </row>
    <row r="75" spans="1:46" s="9" customFormat="1" ht="29.1" hidden="1" customHeight="1">
      <c r="A75" s="2">
        <v>76</v>
      </c>
      <c r="B75" s="26" t="s">
        <v>259</v>
      </c>
      <c r="C75" s="8"/>
      <c r="D75" s="31" t="s">
        <v>262</v>
      </c>
      <c r="E75" s="8" t="s">
        <v>74</v>
      </c>
      <c r="F75" s="27" t="s">
        <v>197</v>
      </c>
      <c r="G75" s="32" t="s">
        <v>265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35">
        <f t="shared" si="3"/>
        <v>0</v>
      </c>
      <c r="AN75" s="15"/>
      <c r="AO75" s="15">
        <f t="shared" si="2"/>
        <v>0</v>
      </c>
      <c r="AP75" s="28"/>
      <c r="AQ75" s="41">
        <v>6</v>
      </c>
      <c r="AR75" s="41">
        <v>2026</v>
      </c>
      <c r="AS75" s="8"/>
      <c r="AT75" s="21"/>
    </row>
    <row r="76" spans="1:46" ht="29.1" hidden="1" customHeight="1">
      <c r="A76" s="2">
        <v>77</v>
      </c>
      <c r="B76" s="2" t="s">
        <v>260</v>
      </c>
      <c r="C76" s="3"/>
      <c r="D76" s="12" t="s">
        <v>263</v>
      </c>
      <c r="E76" s="3" t="s">
        <v>95</v>
      </c>
      <c r="F76" s="25" t="s">
        <v>105</v>
      </c>
      <c r="G76" s="14" t="s">
        <v>265</v>
      </c>
      <c r="H76" s="1">
        <v>2</v>
      </c>
      <c r="I76" s="1">
        <v>2</v>
      </c>
      <c r="J76" s="1">
        <v>2</v>
      </c>
      <c r="K76" s="1">
        <v>8</v>
      </c>
      <c r="L76" s="1">
        <v>2</v>
      </c>
      <c r="M76" s="1">
        <v>4</v>
      </c>
      <c r="N76" s="1">
        <v>2</v>
      </c>
      <c r="O76" s="1">
        <v>2</v>
      </c>
      <c r="P76" s="1">
        <v>2</v>
      </c>
      <c r="Q76" s="1">
        <v>2</v>
      </c>
      <c r="R76" s="1">
        <v>8</v>
      </c>
      <c r="S76" s="1">
        <v>4</v>
      </c>
      <c r="T76" s="1">
        <v>2</v>
      </c>
      <c r="U76" s="1">
        <v>2</v>
      </c>
      <c r="V76" s="1">
        <v>2</v>
      </c>
      <c r="W76" s="1"/>
      <c r="X76" s="1">
        <v>2</v>
      </c>
      <c r="Y76" s="1"/>
      <c r="Z76" s="1">
        <v>2</v>
      </c>
      <c r="AA76" s="1">
        <v>2</v>
      </c>
      <c r="AB76" s="1">
        <v>2</v>
      </c>
      <c r="AC76" s="1"/>
      <c r="AD76" s="1">
        <v>2</v>
      </c>
      <c r="AE76" s="1"/>
      <c r="AF76" s="1">
        <v>8</v>
      </c>
      <c r="AG76" s="1">
        <v>2</v>
      </c>
      <c r="AH76" s="1"/>
      <c r="AI76" s="1">
        <v>2</v>
      </c>
      <c r="AJ76" s="1"/>
      <c r="AK76" s="1"/>
      <c r="AL76" s="1"/>
      <c r="AM76" s="35">
        <f t="shared" si="3"/>
        <v>44</v>
      </c>
      <c r="AN76" s="15"/>
      <c r="AO76" s="15">
        <f t="shared" si="2"/>
        <v>24</v>
      </c>
      <c r="AP76" s="15"/>
      <c r="AQ76" s="41">
        <v>6</v>
      </c>
      <c r="AR76" s="41">
        <v>2026</v>
      </c>
      <c r="AS76" s="3"/>
      <c r="AT76" s="20"/>
    </row>
    <row r="77" spans="1:46" ht="29.1" hidden="1" customHeight="1">
      <c r="A77" s="2">
        <v>78</v>
      </c>
      <c r="B77" s="2" t="s">
        <v>267</v>
      </c>
      <c r="C77" s="3"/>
      <c r="D77" s="12" t="s">
        <v>268</v>
      </c>
      <c r="E77" s="3" t="s">
        <v>77</v>
      </c>
      <c r="F77" s="25" t="s">
        <v>68</v>
      </c>
      <c r="G77" s="14" t="s">
        <v>269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35">
        <f t="shared" si="3"/>
        <v>0</v>
      </c>
      <c r="AN77" s="15"/>
      <c r="AO77" s="15">
        <f t="shared" si="2"/>
        <v>0</v>
      </c>
      <c r="AP77" s="15"/>
      <c r="AQ77" s="41">
        <v>6</v>
      </c>
      <c r="AR77" s="41">
        <v>2026</v>
      </c>
      <c r="AS77" s="3"/>
      <c r="AT77" s="20"/>
    </row>
    <row r="78" spans="1:46" s="9" customFormat="1" ht="29.1" hidden="1" customHeight="1">
      <c r="A78" s="2">
        <v>79</v>
      </c>
      <c r="B78" s="26" t="s">
        <v>272</v>
      </c>
      <c r="C78" s="8"/>
      <c r="D78" s="31" t="s">
        <v>277</v>
      </c>
      <c r="E78" s="8" t="s">
        <v>74</v>
      </c>
      <c r="F78" s="27" t="s">
        <v>197</v>
      </c>
      <c r="G78" s="32" t="s">
        <v>249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35">
        <f t="shared" si="3"/>
        <v>0</v>
      </c>
      <c r="AN78" s="15"/>
      <c r="AO78" s="15">
        <f t="shared" si="2"/>
        <v>0</v>
      </c>
      <c r="AP78" s="28"/>
      <c r="AQ78" s="41">
        <v>6</v>
      </c>
      <c r="AR78" s="41">
        <v>2026</v>
      </c>
      <c r="AS78" s="8"/>
      <c r="AT78" s="21"/>
    </row>
    <row r="79" spans="1:46" s="9" customFormat="1" ht="29.1" hidden="1" customHeight="1">
      <c r="A79" s="2">
        <v>80</v>
      </c>
      <c r="B79" s="26" t="s">
        <v>273</v>
      </c>
      <c r="C79" s="8"/>
      <c r="D79" s="31" t="s">
        <v>278</v>
      </c>
      <c r="E79" s="8" t="s">
        <v>74</v>
      </c>
      <c r="F79" s="27" t="s">
        <v>197</v>
      </c>
      <c r="G79" s="32" t="s">
        <v>249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35">
        <f t="shared" si="3"/>
        <v>0</v>
      </c>
      <c r="AN79" s="15"/>
      <c r="AO79" s="15">
        <f t="shared" ref="AO79:AO125" si="4">K79+R79+Y79+AF79</f>
        <v>0</v>
      </c>
      <c r="AP79" s="28"/>
      <c r="AQ79" s="41">
        <v>6</v>
      </c>
      <c r="AR79" s="41">
        <v>2026</v>
      </c>
      <c r="AS79" s="8"/>
      <c r="AT79" s="21"/>
    </row>
    <row r="80" spans="1:46" ht="29.1" hidden="1" customHeight="1">
      <c r="A80" s="2">
        <v>81</v>
      </c>
      <c r="B80" s="2" t="s">
        <v>274</v>
      </c>
      <c r="C80" s="3"/>
      <c r="D80" s="12" t="s">
        <v>279</v>
      </c>
      <c r="E80" s="3" t="s">
        <v>74</v>
      </c>
      <c r="F80" s="25" t="s">
        <v>197</v>
      </c>
      <c r="G80" s="14" t="s">
        <v>249</v>
      </c>
      <c r="H80" s="1">
        <v>4</v>
      </c>
      <c r="I80" s="1">
        <v>4</v>
      </c>
      <c r="J80" s="1">
        <v>1</v>
      </c>
      <c r="K80" s="1"/>
      <c r="L80" s="1"/>
      <c r="M80" s="1"/>
      <c r="N80" s="1">
        <v>4</v>
      </c>
      <c r="O80" s="1">
        <v>4</v>
      </c>
      <c r="P80" s="1">
        <v>4</v>
      </c>
      <c r="Q80" s="1"/>
      <c r="R80" s="1"/>
      <c r="S80" s="1"/>
      <c r="T80" s="1">
        <v>4</v>
      </c>
      <c r="U80" s="1"/>
      <c r="V80" s="1"/>
      <c r="W80" s="1"/>
      <c r="X80" s="1"/>
      <c r="Y80" s="1"/>
      <c r="Z80" s="1"/>
      <c r="AA80" s="1"/>
      <c r="AB80" s="1"/>
      <c r="AC80" s="1">
        <v>2</v>
      </c>
      <c r="AD80" s="1"/>
      <c r="AE80" s="1"/>
      <c r="AF80" s="1"/>
      <c r="AG80" s="1"/>
      <c r="AH80" s="1"/>
      <c r="AI80" s="1"/>
      <c r="AJ80" s="1"/>
      <c r="AK80" s="1"/>
      <c r="AL80" s="1">
        <v>4</v>
      </c>
      <c r="AM80" s="35">
        <f t="shared" si="3"/>
        <v>31</v>
      </c>
      <c r="AN80" s="15"/>
      <c r="AO80" s="15">
        <f t="shared" si="4"/>
        <v>0</v>
      </c>
      <c r="AP80" s="15"/>
      <c r="AQ80" s="41">
        <v>6</v>
      </c>
      <c r="AR80" s="41">
        <v>2026</v>
      </c>
      <c r="AS80" s="3"/>
      <c r="AT80" s="20"/>
    </row>
    <row r="81" spans="1:46" ht="29.1" hidden="1" customHeight="1">
      <c r="A81" s="2">
        <v>82</v>
      </c>
      <c r="B81" s="2" t="s">
        <v>275</v>
      </c>
      <c r="C81" s="3"/>
      <c r="D81" s="12" t="s">
        <v>280</v>
      </c>
      <c r="E81" s="3" t="s">
        <v>74</v>
      </c>
      <c r="F81" s="25" t="s">
        <v>197</v>
      </c>
      <c r="G81" s="14" t="s">
        <v>281</v>
      </c>
      <c r="H81" s="1">
        <v>5</v>
      </c>
      <c r="I81" s="1">
        <v>5</v>
      </c>
      <c r="J81" s="1">
        <v>5</v>
      </c>
      <c r="K81" s="1">
        <v>8</v>
      </c>
      <c r="L81" s="1">
        <v>4</v>
      </c>
      <c r="M81" s="1">
        <v>4</v>
      </c>
      <c r="N81" s="1">
        <v>4</v>
      </c>
      <c r="O81" s="1">
        <v>4</v>
      </c>
      <c r="P81" s="1">
        <v>4</v>
      </c>
      <c r="Q81" s="1"/>
      <c r="R81" s="1"/>
      <c r="S81" s="1">
        <v>2</v>
      </c>
      <c r="T81" s="1">
        <v>4</v>
      </c>
      <c r="U81" s="1">
        <v>5</v>
      </c>
      <c r="V81" s="1"/>
      <c r="W81" s="1"/>
      <c r="X81" s="1"/>
      <c r="Y81" s="1"/>
      <c r="Z81" s="1"/>
      <c r="AA81" s="1"/>
      <c r="AB81" s="1">
        <v>4</v>
      </c>
      <c r="AC81" s="1">
        <v>2</v>
      </c>
      <c r="AD81" s="1"/>
      <c r="AE81" s="1"/>
      <c r="AF81" s="1"/>
      <c r="AG81" s="1"/>
      <c r="AH81" s="1"/>
      <c r="AI81" s="1"/>
      <c r="AJ81" s="1"/>
      <c r="AK81" s="1"/>
      <c r="AL81" s="1">
        <v>4</v>
      </c>
      <c r="AM81" s="35">
        <f t="shared" si="3"/>
        <v>56</v>
      </c>
      <c r="AN81" s="15"/>
      <c r="AO81" s="15">
        <f t="shared" si="4"/>
        <v>8</v>
      </c>
      <c r="AP81" s="15"/>
      <c r="AQ81" s="41">
        <v>6</v>
      </c>
      <c r="AR81" s="41">
        <v>2026</v>
      </c>
      <c r="AS81" s="3"/>
      <c r="AT81" s="20"/>
    </row>
    <row r="82" spans="1:46" ht="29.1" hidden="1" customHeight="1">
      <c r="A82" s="2">
        <v>83</v>
      </c>
      <c r="B82" s="2" t="s">
        <v>276</v>
      </c>
      <c r="C82" s="3"/>
      <c r="D82" s="12" t="s">
        <v>282</v>
      </c>
      <c r="E82" s="3" t="s">
        <v>74</v>
      </c>
      <c r="F82" s="25" t="s">
        <v>197</v>
      </c>
      <c r="G82" s="14" t="s">
        <v>281</v>
      </c>
      <c r="H82" s="1">
        <v>4</v>
      </c>
      <c r="I82" s="1">
        <v>4</v>
      </c>
      <c r="J82" s="1">
        <v>4</v>
      </c>
      <c r="K82" s="1">
        <v>8</v>
      </c>
      <c r="L82" s="1">
        <v>4</v>
      </c>
      <c r="M82" s="1">
        <v>4</v>
      </c>
      <c r="N82" s="1">
        <v>4</v>
      </c>
      <c r="O82" s="1">
        <v>4</v>
      </c>
      <c r="P82" s="1">
        <v>4</v>
      </c>
      <c r="Q82" s="1"/>
      <c r="R82" s="1"/>
      <c r="S82" s="1"/>
      <c r="T82" s="1">
        <v>4</v>
      </c>
      <c r="U82" s="1">
        <v>4</v>
      </c>
      <c r="V82" s="1">
        <v>4</v>
      </c>
      <c r="W82" s="1"/>
      <c r="X82" s="1"/>
      <c r="Y82" s="1"/>
      <c r="Z82" s="1"/>
      <c r="AA82" s="1">
        <v>4</v>
      </c>
      <c r="AB82" s="1"/>
      <c r="AC82" s="1">
        <v>4</v>
      </c>
      <c r="AD82" s="1"/>
      <c r="AE82" s="1">
        <v>4</v>
      </c>
      <c r="AF82" s="1"/>
      <c r="AG82" s="1">
        <v>4</v>
      </c>
      <c r="AH82" s="1"/>
      <c r="AI82" s="1"/>
      <c r="AJ82" s="1"/>
      <c r="AK82" s="1"/>
      <c r="AL82" s="1"/>
      <c r="AM82" s="35">
        <f t="shared" si="3"/>
        <v>60</v>
      </c>
      <c r="AN82" s="15"/>
      <c r="AO82" s="15">
        <f t="shared" si="4"/>
        <v>8</v>
      </c>
      <c r="AP82" s="15"/>
      <c r="AQ82" s="41">
        <v>6</v>
      </c>
      <c r="AR82" s="41">
        <v>2026</v>
      </c>
      <c r="AS82" s="3"/>
      <c r="AT82" s="20"/>
    </row>
    <row r="83" spans="1:46" s="9" customFormat="1" ht="29.1" hidden="1" customHeight="1">
      <c r="A83" s="2">
        <v>84</v>
      </c>
      <c r="B83" s="26" t="s">
        <v>293</v>
      </c>
      <c r="C83" s="8"/>
      <c r="D83" s="33" t="s">
        <v>285</v>
      </c>
      <c r="E83" s="8" t="s">
        <v>74</v>
      </c>
      <c r="F83" s="33" t="s">
        <v>197</v>
      </c>
      <c r="G83" s="34" t="s">
        <v>291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35">
        <f t="shared" si="3"/>
        <v>0</v>
      </c>
      <c r="AN83" s="15"/>
      <c r="AO83" s="15">
        <f t="shared" si="4"/>
        <v>0</v>
      </c>
      <c r="AP83" s="28"/>
      <c r="AQ83" s="41">
        <v>6</v>
      </c>
      <c r="AR83" s="41">
        <v>2026</v>
      </c>
      <c r="AS83" s="8"/>
      <c r="AT83" s="21"/>
    </row>
    <row r="84" spans="1:46" ht="29.1" hidden="1" customHeight="1">
      <c r="A84" s="2">
        <v>85</v>
      </c>
      <c r="B84" s="2" t="s">
        <v>298</v>
      </c>
      <c r="C84" s="16"/>
      <c r="D84" s="23" t="s">
        <v>286</v>
      </c>
      <c r="E84" s="16" t="s">
        <v>74</v>
      </c>
      <c r="F84" s="23" t="s">
        <v>197</v>
      </c>
      <c r="G84" s="24" t="s">
        <v>291</v>
      </c>
      <c r="H84" s="1">
        <v>4</v>
      </c>
      <c r="I84" s="1">
        <v>4</v>
      </c>
      <c r="J84" s="1">
        <v>1</v>
      </c>
      <c r="K84" s="1">
        <v>8</v>
      </c>
      <c r="L84" s="1"/>
      <c r="M84" s="1">
        <v>4</v>
      </c>
      <c r="N84" s="1">
        <v>4</v>
      </c>
      <c r="O84" s="1">
        <v>4</v>
      </c>
      <c r="P84" s="1">
        <v>4</v>
      </c>
      <c r="Q84" s="1"/>
      <c r="R84" s="1"/>
      <c r="S84" s="1"/>
      <c r="T84" s="1">
        <v>5</v>
      </c>
      <c r="U84" s="1">
        <v>1</v>
      </c>
      <c r="V84" s="1"/>
      <c r="W84" s="1"/>
      <c r="X84" s="1"/>
      <c r="Y84" s="1"/>
      <c r="Z84" s="1"/>
      <c r="AA84" s="1"/>
      <c r="AB84" s="1"/>
      <c r="AC84" s="1">
        <v>2</v>
      </c>
      <c r="AD84" s="1"/>
      <c r="AE84" s="1"/>
      <c r="AF84" s="1"/>
      <c r="AG84" s="1">
        <v>4</v>
      </c>
      <c r="AH84" s="1"/>
      <c r="AI84" s="1"/>
      <c r="AJ84" s="1"/>
      <c r="AK84" s="1"/>
      <c r="AL84" s="1">
        <v>4</v>
      </c>
      <c r="AM84" s="35">
        <f t="shared" si="3"/>
        <v>41</v>
      </c>
      <c r="AN84" s="15"/>
      <c r="AO84" s="15">
        <f t="shared" si="4"/>
        <v>8</v>
      </c>
      <c r="AP84" s="15"/>
      <c r="AQ84" s="41">
        <v>6</v>
      </c>
      <c r="AR84" s="41">
        <v>2026</v>
      </c>
      <c r="AS84" s="16"/>
      <c r="AT84" s="20"/>
    </row>
    <row r="85" spans="1:46" s="9" customFormat="1" ht="29.1" hidden="1" customHeight="1">
      <c r="A85" s="2">
        <v>86</v>
      </c>
      <c r="B85" s="26" t="s">
        <v>299</v>
      </c>
      <c r="C85" s="8"/>
      <c r="D85" s="33" t="s">
        <v>287</v>
      </c>
      <c r="E85" s="8" t="s">
        <v>74</v>
      </c>
      <c r="F85" s="33" t="s">
        <v>197</v>
      </c>
      <c r="G85" s="34" t="s">
        <v>292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35">
        <f t="shared" si="3"/>
        <v>0</v>
      </c>
      <c r="AN85" s="15"/>
      <c r="AO85" s="15">
        <f t="shared" si="4"/>
        <v>0</v>
      </c>
      <c r="AP85" s="28"/>
      <c r="AQ85" s="41">
        <v>6</v>
      </c>
      <c r="AR85" s="41">
        <v>2026</v>
      </c>
      <c r="AS85" s="8"/>
      <c r="AT85" s="21"/>
    </row>
    <row r="86" spans="1:46" ht="29.1" hidden="1" customHeight="1">
      <c r="A86" s="2">
        <v>87</v>
      </c>
      <c r="B86" s="2" t="s">
        <v>294</v>
      </c>
      <c r="C86" s="16"/>
      <c r="D86" s="23" t="s">
        <v>288</v>
      </c>
      <c r="E86" s="16" t="s">
        <v>74</v>
      </c>
      <c r="F86" s="23" t="s">
        <v>197</v>
      </c>
      <c r="G86" s="24" t="s">
        <v>297</v>
      </c>
      <c r="H86" s="1">
        <v>6</v>
      </c>
      <c r="I86" s="1">
        <v>6</v>
      </c>
      <c r="J86" s="1">
        <v>2</v>
      </c>
      <c r="K86" s="1"/>
      <c r="L86" s="1">
        <v>6</v>
      </c>
      <c r="M86" s="1">
        <v>4</v>
      </c>
      <c r="N86" s="1">
        <v>6</v>
      </c>
      <c r="O86" s="1">
        <v>6</v>
      </c>
      <c r="P86" s="1">
        <v>7</v>
      </c>
      <c r="Q86" s="1"/>
      <c r="R86" s="1">
        <v>8</v>
      </c>
      <c r="S86" s="1">
        <v>6</v>
      </c>
      <c r="T86" s="1">
        <v>4</v>
      </c>
      <c r="U86" s="1">
        <v>6</v>
      </c>
      <c r="V86" s="1">
        <v>2</v>
      </c>
      <c r="W86" s="1"/>
      <c r="X86" s="1">
        <v>6</v>
      </c>
      <c r="Y86" s="1"/>
      <c r="Z86" s="1">
        <v>4</v>
      </c>
      <c r="AA86" s="1">
        <v>6</v>
      </c>
      <c r="AB86" s="1">
        <v>4</v>
      </c>
      <c r="AC86" s="1">
        <v>4</v>
      </c>
      <c r="AD86" s="1">
        <v>5</v>
      </c>
      <c r="AE86" s="1">
        <v>4</v>
      </c>
      <c r="AF86" s="1"/>
      <c r="AG86" s="1">
        <v>6</v>
      </c>
      <c r="AH86" s="1">
        <v>4</v>
      </c>
      <c r="AI86" s="1">
        <v>4</v>
      </c>
      <c r="AJ86" s="1">
        <v>4</v>
      </c>
      <c r="AK86" s="1">
        <v>4</v>
      </c>
      <c r="AL86" s="1">
        <v>4</v>
      </c>
      <c r="AM86" s="35">
        <f t="shared" si="3"/>
        <v>120</v>
      </c>
      <c r="AN86" s="15"/>
      <c r="AO86" s="15">
        <f t="shared" si="4"/>
        <v>8</v>
      </c>
      <c r="AP86" s="15"/>
      <c r="AQ86" s="41">
        <v>6</v>
      </c>
      <c r="AR86" s="41">
        <v>2026</v>
      </c>
      <c r="AS86" s="16"/>
      <c r="AT86" s="20"/>
    </row>
    <row r="87" spans="1:46" ht="29.1" hidden="1" customHeight="1">
      <c r="A87" s="2">
        <v>88</v>
      </c>
      <c r="B87" s="2" t="s">
        <v>295</v>
      </c>
      <c r="C87" s="16"/>
      <c r="D87" s="23" t="s">
        <v>290</v>
      </c>
      <c r="E87" s="16" t="s">
        <v>74</v>
      </c>
      <c r="F87" s="23" t="s">
        <v>197</v>
      </c>
      <c r="G87" s="24" t="s">
        <v>297</v>
      </c>
      <c r="H87" s="1">
        <v>4</v>
      </c>
      <c r="I87" s="1">
        <v>4</v>
      </c>
      <c r="J87" s="1">
        <v>1</v>
      </c>
      <c r="K87" s="1">
        <v>8</v>
      </c>
      <c r="L87" s="1"/>
      <c r="M87" s="1">
        <v>4</v>
      </c>
      <c r="N87" s="1">
        <v>4</v>
      </c>
      <c r="O87" s="1">
        <v>4</v>
      </c>
      <c r="P87" s="1">
        <v>4</v>
      </c>
      <c r="Q87" s="1"/>
      <c r="R87" s="1"/>
      <c r="S87" s="1"/>
      <c r="T87" s="1">
        <v>4</v>
      </c>
      <c r="U87" s="1">
        <v>1</v>
      </c>
      <c r="V87" s="1"/>
      <c r="W87" s="1"/>
      <c r="X87" s="1"/>
      <c r="Y87" s="1"/>
      <c r="Z87" s="1"/>
      <c r="AA87" s="1"/>
      <c r="AB87" s="1">
        <v>4</v>
      </c>
      <c r="AC87" s="1">
        <v>2</v>
      </c>
      <c r="AD87" s="1"/>
      <c r="AE87" s="1"/>
      <c r="AF87" s="1"/>
      <c r="AG87" s="1"/>
      <c r="AH87" s="1"/>
      <c r="AI87" s="1"/>
      <c r="AJ87" s="1"/>
      <c r="AK87" s="1"/>
      <c r="AL87" s="1">
        <v>4</v>
      </c>
      <c r="AM87" s="35">
        <f t="shared" si="3"/>
        <v>40</v>
      </c>
      <c r="AN87" s="15"/>
      <c r="AO87" s="15">
        <f t="shared" si="4"/>
        <v>8</v>
      </c>
      <c r="AP87" s="15"/>
      <c r="AQ87" s="41">
        <v>6</v>
      </c>
      <c r="AR87" s="41">
        <v>2026</v>
      </c>
      <c r="AS87" s="16"/>
      <c r="AT87" s="20"/>
    </row>
    <row r="88" spans="1:46" ht="29.1" hidden="1" customHeight="1">
      <c r="A88" s="2">
        <v>89</v>
      </c>
      <c r="B88" s="2" t="s">
        <v>296</v>
      </c>
      <c r="C88" s="16"/>
      <c r="D88" s="23" t="s">
        <v>289</v>
      </c>
      <c r="E88" s="16" t="s">
        <v>74</v>
      </c>
      <c r="F88" s="23" t="s">
        <v>197</v>
      </c>
      <c r="G88" s="24" t="s">
        <v>297</v>
      </c>
      <c r="H88" s="1">
        <v>4</v>
      </c>
      <c r="I88" s="1">
        <v>4</v>
      </c>
      <c r="J88" s="1">
        <v>1</v>
      </c>
      <c r="K88" s="1">
        <v>8</v>
      </c>
      <c r="L88" s="1"/>
      <c r="M88" s="1">
        <v>4</v>
      </c>
      <c r="N88" s="1">
        <v>4</v>
      </c>
      <c r="O88" s="1">
        <v>4</v>
      </c>
      <c r="P88" s="1">
        <v>4</v>
      </c>
      <c r="Q88" s="1"/>
      <c r="R88" s="1"/>
      <c r="S88" s="1"/>
      <c r="T88" s="1">
        <v>4</v>
      </c>
      <c r="U88" s="1">
        <v>1</v>
      </c>
      <c r="V88" s="1"/>
      <c r="W88" s="1"/>
      <c r="X88" s="1"/>
      <c r="Y88" s="1"/>
      <c r="Z88" s="1"/>
      <c r="AA88" s="1"/>
      <c r="AB88" s="1">
        <v>4</v>
      </c>
      <c r="AC88" s="1">
        <v>2</v>
      </c>
      <c r="AD88" s="1"/>
      <c r="AE88" s="1"/>
      <c r="AF88" s="1"/>
      <c r="AG88" s="1"/>
      <c r="AH88" s="1"/>
      <c r="AI88" s="1"/>
      <c r="AJ88" s="1"/>
      <c r="AK88" s="1"/>
      <c r="AL88" s="1">
        <v>4</v>
      </c>
      <c r="AM88" s="35">
        <f t="shared" si="3"/>
        <v>40</v>
      </c>
      <c r="AN88" s="15"/>
      <c r="AO88" s="15">
        <f t="shared" si="4"/>
        <v>8</v>
      </c>
      <c r="AP88" s="15"/>
      <c r="AQ88" s="41">
        <v>6</v>
      </c>
      <c r="AR88" s="41">
        <v>2026</v>
      </c>
      <c r="AS88" s="16"/>
      <c r="AT88" s="20"/>
    </row>
    <row r="89" spans="1:46" ht="29.1" hidden="1" customHeight="1">
      <c r="A89" s="2">
        <v>90</v>
      </c>
      <c r="B89" s="2" t="s">
        <v>301</v>
      </c>
      <c r="C89" s="16"/>
      <c r="D89" s="23" t="s">
        <v>302</v>
      </c>
      <c r="E89" s="16" t="s">
        <v>74</v>
      </c>
      <c r="F89" s="23" t="s">
        <v>197</v>
      </c>
      <c r="G89" s="24" t="s">
        <v>303</v>
      </c>
      <c r="H89" s="1">
        <v>6</v>
      </c>
      <c r="I89" s="1">
        <v>4</v>
      </c>
      <c r="J89" s="1">
        <v>4</v>
      </c>
      <c r="K89" s="1"/>
      <c r="L89" s="1">
        <v>4</v>
      </c>
      <c r="M89" s="1">
        <v>4</v>
      </c>
      <c r="N89" s="1">
        <v>4</v>
      </c>
      <c r="O89" s="1"/>
      <c r="P89" s="1">
        <v>4</v>
      </c>
      <c r="Q89" s="1"/>
      <c r="R89" s="1"/>
      <c r="S89" s="1"/>
      <c r="T89" s="1">
        <v>4</v>
      </c>
      <c r="U89" s="1"/>
      <c r="V89" s="1"/>
      <c r="W89" s="1">
        <v>4</v>
      </c>
      <c r="X89" s="1"/>
      <c r="Y89" s="1"/>
      <c r="Z89" s="1">
        <v>5</v>
      </c>
      <c r="AA89" s="1">
        <v>4</v>
      </c>
      <c r="AB89" s="1">
        <v>4</v>
      </c>
      <c r="AC89" s="1"/>
      <c r="AD89" s="1"/>
      <c r="AE89" s="1">
        <v>4</v>
      </c>
      <c r="AF89" s="1"/>
      <c r="AG89" s="1"/>
      <c r="AH89" s="1"/>
      <c r="AI89" s="1"/>
      <c r="AJ89" s="1"/>
      <c r="AK89" s="1"/>
      <c r="AL89" s="1"/>
      <c r="AM89" s="35">
        <f t="shared" si="3"/>
        <v>55</v>
      </c>
      <c r="AN89" s="15"/>
      <c r="AO89" s="15">
        <f t="shared" si="4"/>
        <v>0</v>
      </c>
      <c r="AP89" s="15"/>
      <c r="AQ89" s="41">
        <v>6</v>
      </c>
      <c r="AR89" s="41">
        <v>2026</v>
      </c>
      <c r="AS89" s="16"/>
      <c r="AT89" s="20"/>
    </row>
    <row r="90" spans="1:46" ht="29.1" hidden="1" customHeight="1">
      <c r="A90" s="2">
        <v>91</v>
      </c>
      <c r="B90" s="2" t="s">
        <v>304</v>
      </c>
      <c r="C90" s="16"/>
      <c r="D90" s="23" t="s">
        <v>305</v>
      </c>
      <c r="E90" s="16" t="s">
        <v>74</v>
      </c>
      <c r="F90" s="23" t="s">
        <v>197</v>
      </c>
      <c r="G90" s="24" t="s">
        <v>303</v>
      </c>
      <c r="H90" s="1">
        <v>4</v>
      </c>
      <c r="I90" s="1">
        <v>6</v>
      </c>
      <c r="J90" s="1"/>
      <c r="K90" s="1"/>
      <c r="L90" s="1">
        <v>2</v>
      </c>
      <c r="M90" s="1"/>
      <c r="N90" s="1">
        <v>6</v>
      </c>
      <c r="O90" s="1">
        <v>6</v>
      </c>
      <c r="P90" s="1">
        <v>4</v>
      </c>
      <c r="Q90" s="1"/>
      <c r="R90" s="1">
        <v>8</v>
      </c>
      <c r="S90" s="1"/>
      <c r="T90" s="1"/>
      <c r="U90" s="1">
        <v>6</v>
      </c>
      <c r="V90" s="1">
        <v>2</v>
      </c>
      <c r="W90" s="1"/>
      <c r="X90" s="1">
        <v>6</v>
      </c>
      <c r="Y90" s="1"/>
      <c r="Z90" s="1">
        <v>4</v>
      </c>
      <c r="AA90" s="1">
        <v>4</v>
      </c>
      <c r="AB90" s="1">
        <v>2</v>
      </c>
      <c r="AC90" s="1">
        <v>4</v>
      </c>
      <c r="AD90" s="1">
        <v>4</v>
      </c>
      <c r="AE90" s="1"/>
      <c r="AF90" s="1"/>
      <c r="AG90" s="1"/>
      <c r="AH90" s="1"/>
      <c r="AI90" s="1">
        <v>4</v>
      </c>
      <c r="AJ90" s="1">
        <v>4</v>
      </c>
      <c r="AK90" s="1">
        <v>2</v>
      </c>
      <c r="AL90" s="1"/>
      <c r="AM90" s="35">
        <f t="shared" si="3"/>
        <v>70</v>
      </c>
      <c r="AN90" s="15"/>
      <c r="AO90" s="15">
        <f t="shared" si="4"/>
        <v>8</v>
      </c>
      <c r="AP90" s="15"/>
      <c r="AQ90" s="41">
        <v>6</v>
      </c>
      <c r="AR90" s="41">
        <v>2026</v>
      </c>
      <c r="AS90" s="16"/>
      <c r="AT90" s="20"/>
    </row>
    <row r="91" spans="1:46" ht="29.1" hidden="1" customHeight="1">
      <c r="A91" s="2">
        <v>92</v>
      </c>
      <c r="B91" s="2" t="s">
        <v>313</v>
      </c>
      <c r="C91" s="16"/>
      <c r="D91" s="23" t="s">
        <v>314</v>
      </c>
      <c r="E91" s="16" t="s">
        <v>95</v>
      </c>
      <c r="F91" s="23" t="s">
        <v>105</v>
      </c>
      <c r="G91" s="24" t="s">
        <v>315</v>
      </c>
      <c r="H91" s="1"/>
      <c r="I91" s="1"/>
      <c r="J91" s="1">
        <v>4</v>
      </c>
      <c r="K91" s="1"/>
      <c r="L91" s="1">
        <v>2</v>
      </c>
      <c r="M91" s="1">
        <v>2</v>
      </c>
      <c r="N91" s="1">
        <v>2</v>
      </c>
      <c r="O91" s="1">
        <v>2</v>
      </c>
      <c r="P91" s="1">
        <v>4</v>
      </c>
      <c r="Q91" s="1">
        <v>2</v>
      </c>
      <c r="R91" s="1">
        <v>8</v>
      </c>
      <c r="S91" s="1">
        <v>2</v>
      </c>
      <c r="T91" s="1">
        <v>2</v>
      </c>
      <c r="U91" s="1"/>
      <c r="V91" s="1">
        <v>4</v>
      </c>
      <c r="W91" s="1">
        <v>2</v>
      </c>
      <c r="X91" s="1">
        <v>2</v>
      </c>
      <c r="Y91" s="1"/>
      <c r="Z91" s="1">
        <v>2</v>
      </c>
      <c r="AA91" s="1">
        <v>2</v>
      </c>
      <c r="AB91" s="1">
        <v>2</v>
      </c>
      <c r="AC91" s="1">
        <v>2</v>
      </c>
      <c r="AD91" s="1">
        <v>2</v>
      </c>
      <c r="AE91" s="1"/>
      <c r="AF91" s="1"/>
      <c r="AG91" s="1">
        <v>2</v>
      </c>
      <c r="AH91" s="1">
        <v>2</v>
      </c>
      <c r="AI91" s="1">
        <v>2</v>
      </c>
      <c r="AJ91" s="1"/>
      <c r="AK91" s="1">
        <v>2</v>
      </c>
      <c r="AL91" s="1">
        <v>2</v>
      </c>
      <c r="AM91" s="35">
        <f t="shared" si="3"/>
        <v>50</v>
      </c>
      <c r="AN91" s="15"/>
      <c r="AO91" s="15">
        <f t="shared" si="4"/>
        <v>8</v>
      </c>
      <c r="AP91" s="15"/>
      <c r="AQ91" s="41">
        <v>6</v>
      </c>
      <c r="AR91" s="41">
        <v>2026</v>
      </c>
      <c r="AS91" s="16"/>
      <c r="AT91" s="20"/>
    </row>
    <row r="92" spans="1:46" ht="29.1" hidden="1" customHeight="1">
      <c r="A92" s="2">
        <v>93</v>
      </c>
      <c r="B92" s="2" t="s">
        <v>306</v>
      </c>
      <c r="C92" s="16"/>
      <c r="D92" s="23" t="s">
        <v>307</v>
      </c>
      <c r="E92" s="16" t="s">
        <v>74</v>
      </c>
      <c r="F92" s="23" t="s">
        <v>197</v>
      </c>
      <c r="G92" s="24" t="s">
        <v>308</v>
      </c>
      <c r="H92" s="1"/>
      <c r="I92" s="1">
        <v>4</v>
      </c>
      <c r="J92" s="1">
        <v>4</v>
      </c>
      <c r="K92" s="1">
        <v>8</v>
      </c>
      <c r="L92" s="1">
        <v>4</v>
      </c>
      <c r="M92" s="1"/>
      <c r="N92" s="1">
        <v>4</v>
      </c>
      <c r="O92" s="1">
        <v>4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>
        <v>4</v>
      </c>
      <c r="AB92" s="1">
        <v>4</v>
      </c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35">
        <f t="shared" si="3"/>
        <v>28</v>
      </c>
      <c r="AN92" s="15"/>
      <c r="AO92" s="15">
        <f t="shared" si="4"/>
        <v>8</v>
      </c>
      <c r="AP92" s="15"/>
      <c r="AQ92" s="41">
        <v>6</v>
      </c>
      <c r="AR92" s="41">
        <v>2026</v>
      </c>
      <c r="AS92" s="16"/>
      <c r="AT92" s="20"/>
    </row>
    <row r="93" spans="1:46" s="9" customFormat="1" ht="29.1" hidden="1" customHeight="1">
      <c r="A93" s="2">
        <v>94</v>
      </c>
      <c r="B93" s="26" t="s">
        <v>309</v>
      </c>
      <c r="C93" s="8"/>
      <c r="D93" s="33" t="s">
        <v>310</v>
      </c>
      <c r="E93" s="8" t="s">
        <v>74</v>
      </c>
      <c r="F93" s="33" t="s">
        <v>197</v>
      </c>
      <c r="G93" s="34" t="s">
        <v>308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35">
        <f t="shared" si="3"/>
        <v>0</v>
      </c>
      <c r="AN93" s="15"/>
      <c r="AO93" s="15">
        <f t="shared" si="4"/>
        <v>0</v>
      </c>
      <c r="AP93" s="28"/>
      <c r="AQ93" s="41">
        <v>6</v>
      </c>
      <c r="AR93" s="41">
        <v>2026</v>
      </c>
      <c r="AS93" s="8"/>
      <c r="AT93" s="21"/>
    </row>
    <row r="94" spans="1:46" s="9" customFormat="1" ht="29.1" hidden="1" customHeight="1">
      <c r="A94" s="2">
        <v>95</v>
      </c>
      <c r="B94" s="26" t="s">
        <v>311</v>
      </c>
      <c r="C94" s="8"/>
      <c r="D94" s="33" t="s">
        <v>312</v>
      </c>
      <c r="E94" s="8" t="s">
        <v>74</v>
      </c>
      <c r="F94" s="33" t="s">
        <v>197</v>
      </c>
      <c r="G94" s="34" t="s">
        <v>308</v>
      </c>
      <c r="H94" s="1"/>
      <c r="I94" s="1">
        <v>4</v>
      </c>
      <c r="J94" s="1">
        <v>4</v>
      </c>
      <c r="K94" s="1"/>
      <c r="L94" s="1">
        <v>4</v>
      </c>
      <c r="M94" s="1">
        <v>4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35">
        <f t="shared" si="3"/>
        <v>16</v>
      </c>
      <c r="AN94" s="15"/>
      <c r="AO94" s="15">
        <f t="shared" si="4"/>
        <v>0</v>
      </c>
      <c r="AP94" s="28"/>
      <c r="AQ94" s="41">
        <v>6</v>
      </c>
      <c r="AR94" s="41">
        <v>2026</v>
      </c>
      <c r="AS94" s="8"/>
      <c r="AT94" s="21"/>
    </row>
    <row r="95" spans="1:46" ht="29.1" hidden="1" customHeight="1">
      <c r="A95" s="2">
        <v>96</v>
      </c>
      <c r="B95" s="2" t="s">
        <v>316</v>
      </c>
      <c r="C95" s="16"/>
      <c r="D95" s="23" t="s">
        <v>317</v>
      </c>
      <c r="E95" s="16" t="s">
        <v>78</v>
      </c>
      <c r="F95" s="23" t="s">
        <v>318</v>
      </c>
      <c r="G95" s="24" t="s">
        <v>319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35">
        <f t="shared" si="3"/>
        <v>0</v>
      </c>
      <c r="AN95" s="15"/>
      <c r="AO95" s="15">
        <f t="shared" si="4"/>
        <v>0</v>
      </c>
      <c r="AP95" s="15"/>
      <c r="AQ95" s="41">
        <v>6</v>
      </c>
      <c r="AR95" s="41">
        <v>2026</v>
      </c>
      <c r="AS95" s="16"/>
      <c r="AT95" s="20"/>
    </row>
    <row r="96" spans="1:46" ht="29.1" hidden="1" customHeight="1">
      <c r="A96" s="2">
        <v>99</v>
      </c>
      <c r="B96" s="2" t="s">
        <v>322</v>
      </c>
      <c r="C96" s="16"/>
      <c r="D96" s="23" t="s">
        <v>323</v>
      </c>
      <c r="E96" s="16" t="s">
        <v>78</v>
      </c>
      <c r="F96" s="23" t="s">
        <v>324</v>
      </c>
      <c r="G96" s="24" t="s">
        <v>325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35">
        <f t="shared" si="3"/>
        <v>0</v>
      </c>
      <c r="AN96" s="15"/>
      <c r="AO96" s="15">
        <f t="shared" si="4"/>
        <v>0</v>
      </c>
      <c r="AP96" s="15"/>
      <c r="AQ96" s="41">
        <v>6</v>
      </c>
      <c r="AR96" s="41">
        <v>2026</v>
      </c>
      <c r="AS96" s="16"/>
      <c r="AT96" s="20"/>
    </row>
    <row r="97" spans="1:46" ht="29.1" hidden="1" customHeight="1">
      <c r="A97" s="2">
        <v>100</v>
      </c>
      <c r="B97" s="2" t="s">
        <v>326</v>
      </c>
      <c r="C97" s="16"/>
      <c r="D97" s="23" t="s">
        <v>327</v>
      </c>
      <c r="E97" s="16" t="s">
        <v>74</v>
      </c>
      <c r="F97" s="23" t="s">
        <v>197</v>
      </c>
      <c r="G97" s="24" t="s">
        <v>328</v>
      </c>
      <c r="H97" s="1">
        <v>6</v>
      </c>
      <c r="I97" s="1">
        <v>6</v>
      </c>
      <c r="J97" s="1">
        <v>4</v>
      </c>
      <c r="K97" s="1"/>
      <c r="L97" s="1">
        <v>2.5</v>
      </c>
      <c r="M97" s="1">
        <v>4</v>
      </c>
      <c r="N97" s="1">
        <v>6</v>
      </c>
      <c r="O97" s="1">
        <v>6</v>
      </c>
      <c r="P97" s="1">
        <v>6</v>
      </c>
      <c r="Q97" s="1">
        <v>2</v>
      </c>
      <c r="R97" s="1"/>
      <c r="S97" s="1">
        <v>6</v>
      </c>
      <c r="T97" s="1">
        <v>4</v>
      </c>
      <c r="U97" s="1">
        <v>6</v>
      </c>
      <c r="V97" s="1">
        <v>2</v>
      </c>
      <c r="W97" s="1">
        <v>6</v>
      </c>
      <c r="X97" s="1">
        <v>6</v>
      </c>
      <c r="Y97" s="1"/>
      <c r="Z97" s="1">
        <v>4</v>
      </c>
      <c r="AA97" s="1">
        <v>4</v>
      </c>
      <c r="AB97" s="1">
        <v>4</v>
      </c>
      <c r="AC97" s="1">
        <v>4</v>
      </c>
      <c r="AD97" s="1">
        <v>5</v>
      </c>
      <c r="AE97" s="1">
        <v>4</v>
      </c>
      <c r="AF97" s="1"/>
      <c r="AG97" s="1">
        <v>4</v>
      </c>
      <c r="AH97" s="1">
        <v>4</v>
      </c>
      <c r="AI97" s="1">
        <v>4</v>
      </c>
      <c r="AJ97" s="1">
        <v>4</v>
      </c>
      <c r="AK97" s="1">
        <v>4</v>
      </c>
      <c r="AL97" s="1">
        <v>4</v>
      </c>
      <c r="AM97" s="35">
        <f t="shared" si="3"/>
        <v>121.5</v>
      </c>
      <c r="AN97" s="15"/>
      <c r="AO97" s="15">
        <f t="shared" si="4"/>
        <v>0</v>
      </c>
      <c r="AP97" s="15"/>
      <c r="AQ97" s="41">
        <v>6</v>
      </c>
      <c r="AR97" s="41">
        <v>2026</v>
      </c>
      <c r="AS97" s="16"/>
      <c r="AT97" s="20"/>
    </row>
    <row r="98" spans="1:46" ht="29.1" hidden="1" customHeight="1">
      <c r="A98" s="2">
        <v>101</v>
      </c>
      <c r="B98" s="2" t="s">
        <v>329</v>
      </c>
      <c r="C98" s="16"/>
      <c r="D98" s="23" t="s">
        <v>330</v>
      </c>
      <c r="E98" s="16" t="s">
        <v>74</v>
      </c>
      <c r="F98" s="23" t="s">
        <v>197</v>
      </c>
      <c r="G98" s="24" t="s">
        <v>328</v>
      </c>
      <c r="H98" s="1"/>
      <c r="I98" s="1"/>
      <c r="J98" s="1"/>
      <c r="K98" s="1">
        <v>8</v>
      </c>
      <c r="L98" s="1">
        <v>4</v>
      </c>
      <c r="M98" s="1">
        <v>4</v>
      </c>
      <c r="N98" s="1"/>
      <c r="O98" s="1">
        <v>4</v>
      </c>
      <c r="P98" s="1">
        <v>4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35">
        <f t="shared" si="3"/>
        <v>16</v>
      </c>
      <c r="AN98" s="15"/>
      <c r="AO98" s="15">
        <f t="shared" si="4"/>
        <v>8</v>
      </c>
      <c r="AP98" s="15"/>
      <c r="AQ98" s="41">
        <v>6</v>
      </c>
      <c r="AR98" s="41">
        <v>2026</v>
      </c>
      <c r="AS98" s="16"/>
      <c r="AT98" s="20"/>
    </row>
    <row r="99" spans="1:46" ht="29.1" hidden="1" customHeight="1">
      <c r="A99" s="2">
        <v>102</v>
      </c>
      <c r="B99" s="2" t="s">
        <v>331</v>
      </c>
      <c r="C99" s="16"/>
      <c r="D99" s="23" t="s">
        <v>332</v>
      </c>
      <c r="E99" s="16" t="s">
        <v>74</v>
      </c>
      <c r="F99" s="23" t="s">
        <v>197</v>
      </c>
      <c r="G99" s="24" t="s">
        <v>333</v>
      </c>
      <c r="H99" s="1">
        <v>4</v>
      </c>
      <c r="I99" s="1">
        <v>4</v>
      </c>
      <c r="J99" s="1">
        <v>1</v>
      </c>
      <c r="K99" s="1">
        <v>8</v>
      </c>
      <c r="L99" s="1"/>
      <c r="M99" s="1"/>
      <c r="N99" s="1"/>
      <c r="O99" s="1">
        <v>4</v>
      </c>
      <c r="P99" s="1">
        <v>4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35">
        <f t="shared" si="3"/>
        <v>17</v>
      </c>
      <c r="AN99" s="15"/>
      <c r="AO99" s="15">
        <f t="shared" si="4"/>
        <v>8</v>
      </c>
      <c r="AP99" s="15"/>
      <c r="AQ99" s="41">
        <v>6</v>
      </c>
      <c r="AR99" s="41">
        <v>2026</v>
      </c>
      <c r="AS99" s="16"/>
      <c r="AT99" s="20"/>
    </row>
    <row r="100" spans="1:46" ht="29.1" hidden="1" customHeight="1">
      <c r="A100" s="2">
        <v>103</v>
      </c>
      <c r="B100" s="2" t="s">
        <v>354</v>
      </c>
      <c r="C100" s="16"/>
      <c r="D100" s="23" t="s">
        <v>334</v>
      </c>
      <c r="E100" s="16" t="s">
        <v>74</v>
      </c>
      <c r="F100" s="23" t="s">
        <v>197</v>
      </c>
      <c r="G100" s="24" t="s">
        <v>353</v>
      </c>
      <c r="H100" s="1"/>
      <c r="I100" s="1">
        <v>4</v>
      </c>
      <c r="J100" s="1">
        <v>1</v>
      </c>
      <c r="K100" s="1"/>
      <c r="L100" s="1">
        <v>4</v>
      </c>
      <c r="M100" s="1"/>
      <c r="N100" s="1">
        <v>4</v>
      </c>
      <c r="O100" s="1">
        <v>4</v>
      </c>
      <c r="P100" s="1"/>
      <c r="Q100" s="1">
        <v>4</v>
      </c>
      <c r="R100" s="1"/>
      <c r="S100" s="1">
        <v>2</v>
      </c>
      <c r="T100" s="1">
        <v>4</v>
      </c>
      <c r="U100" s="1"/>
      <c r="V100" s="1"/>
      <c r="W100" s="1"/>
      <c r="X100" s="1"/>
      <c r="Y100" s="1"/>
      <c r="Z100" s="1"/>
      <c r="AA100" s="1"/>
      <c r="AB100" s="1">
        <v>4</v>
      </c>
      <c r="AC100" s="1">
        <v>2</v>
      </c>
      <c r="AD100" s="1"/>
      <c r="AE100" s="1"/>
      <c r="AF100" s="1"/>
      <c r="AG100" s="1"/>
      <c r="AH100" s="1"/>
      <c r="AI100" s="1"/>
      <c r="AJ100" s="1"/>
      <c r="AK100" s="1"/>
      <c r="AL100" s="1"/>
      <c r="AM100" s="35">
        <f t="shared" si="3"/>
        <v>33</v>
      </c>
      <c r="AN100" s="15"/>
      <c r="AO100" s="15">
        <f t="shared" si="4"/>
        <v>0</v>
      </c>
      <c r="AP100" s="15"/>
      <c r="AQ100" s="41">
        <v>6</v>
      </c>
      <c r="AR100" s="41">
        <v>2026</v>
      </c>
      <c r="AS100" s="16"/>
      <c r="AT100" s="20"/>
    </row>
    <row r="101" spans="1:46" ht="29.1" hidden="1" customHeight="1">
      <c r="A101" s="2">
        <v>104</v>
      </c>
      <c r="B101" s="2" t="s">
        <v>355</v>
      </c>
      <c r="C101" s="16"/>
      <c r="D101" s="23" t="s">
        <v>335</v>
      </c>
      <c r="E101" s="16" t="s">
        <v>74</v>
      </c>
      <c r="F101" s="23" t="s">
        <v>197</v>
      </c>
      <c r="G101" s="24" t="s">
        <v>353</v>
      </c>
      <c r="H101" s="1"/>
      <c r="I101" s="1">
        <v>4</v>
      </c>
      <c r="J101" s="1">
        <v>2</v>
      </c>
      <c r="K101" s="1"/>
      <c r="L101" s="1">
        <v>2</v>
      </c>
      <c r="M101" s="1"/>
      <c r="N101" s="1"/>
      <c r="O101" s="1">
        <v>6</v>
      </c>
      <c r="P101" s="1">
        <v>4</v>
      </c>
      <c r="Q101" s="1"/>
      <c r="R101" s="1"/>
      <c r="S101" s="1"/>
      <c r="T101" s="1">
        <v>2</v>
      </c>
      <c r="U101" s="1"/>
      <c r="V101" s="1">
        <v>2</v>
      </c>
      <c r="W101" s="1"/>
      <c r="X101" s="1">
        <v>6</v>
      </c>
      <c r="Y101" s="1"/>
      <c r="Z101" s="1">
        <v>2</v>
      </c>
      <c r="AA101" s="1">
        <v>4</v>
      </c>
      <c r="AB101" s="1">
        <v>4</v>
      </c>
      <c r="AC101" s="1">
        <v>4</v>
      </c>
      <c r="AD101" s="1">
        <v>4</v>
      </c>
      <c r="AE101" s="1"/>
      <c r="AF101" s="1"/>
      <c r="AG101" s="1">
        <v>4</v>
      </c>
      <c r="AH101" s="1">
        <v>4</v>
      </c>
      <c r="AI101" s="1">
        <v>4</v>
      </c>
      <c r="AJ101" s="1">
        <v>4</v>
      </c>
      <c r="AK101" s="1">
        <v>4</v>
      </c>
      <c r="AL101" s="1"/>
      <c r="AM101" s="35">
        <f t="shared" si="3"/>
        <v>66</v>
      </c>
      <c r="AN101" s="15"/>
      <c r="AO101" s="15">
        <f t="shared" si="4"/>
        <v>0</v>
      </c>
      <c r="AP101" s="15"/>
      <c r="AQ101" s="41">
        <v>6</v>
      </c>
      <c r="AR101" s="41">
        <v>2026</v>
      </c>
      <c r="AS101" s="16"/>
      <c r="AT101" s="20"/>
    </row>
    <row r="102" spans="1:46" ht="29.1" hidden="1" customHeight="1">
      <c r="A102" s="2">
        <v>105</v>
      </c>
      <c r="B102" s="2" t="s">
        <v>356</v>
      </c>
      <c r="C102" s="16"/>
      <c r="D102" s="23" t="s">
        <v>336</v>
      </c>
      <c r="E102" s="16" t="s">
        <v>77</v>
      </c>
      <c r="F102" s="23" t="s">
        <v>93</v>
      </c>
      <c r="G102" s="24" t="s">
        <v>347</v>
      </c>
      <c r="H102" s="1"/>
      <c r="I102" s="1"/>
      <c r="J102" s="1">
        <v>3</v>
      </c>
      <c r="K102" s="1"/>
      <c r="L102" s="1">
        <v>2</v>
      </c>
      <c r="M102" s="1">
        <v>2</v>
      </c>
      <c r="N102" s="1">
        <v>2</v>
      </c>
      <c r="O102" s="1">
        <v>2</v>
      </c>
      <c r="P102" s="1">
        <v>3.5</v>
      </c>
      <c r="Q102" s="1">
        <v>4</v>
      </c>
      <c r="R102" s="1"/>
      <c r="S102" s="1">
        <v>1</v>
      </c>
      <c r="T102" s="1">
        <v>4</v>
      </c>
      <c r="U102" s="1">
        <v>3</v>
      </c>
      <c r="V102" s="1"/>
      <c r="W102" s="1"/>
      <c r="X102" s="1"/>
      <c r="Y102" s="1"/>
      <c r="Z102" s="1"/>
      <c r="AA102" s="1"/>
      <c r="AB102" s="1">
        <v>4</v>
      </c>
      <c r="AC102" s="1">
        <v>3</v>
      </c>
      <c r="AD102" s="1">
        <v>2</v>
      </c>
      <c r="AE102" s="1">
        <v>3</v>
      </c>
      <c r="AF102" s="1"/>
      <c r="AG102" s="1">
        <v>4</v>
      </c>
      <c r="AH102" s="1"/>
      <c r="AI102" s="1">
        <v>4</v>
      </c>
      <c r="AJ102" s="1">
        <v>4</v>
      </c>
      <c r="AK102" s="1">
        <v>4</v>
      </c>
      <c r="AL102" s="1">
        <v>4</v>
      </c>
      <c r="AM102" s="35">
        <f t="shared" si="3"/>
        <v>58.5</v>
      </c>
      <c r="AN102" s="15"/>
      <c r="AO102" s="15">
        <f t="shared" si="4"/>
        <v>0</v>
      </c>
      <c r="AP102" s="15"/>
      <c r="AQ102" s="41">
        <v>6</v>
      </c>
      <c r="AR102" s="41">
        <v>2026</v>
      </c>
      <c r="AS102" s="16"/>
      <c r="AT102" s="20"/>
    </row>
    <row r="103" spans="1:46" ht="29.1" hidden="1" customHeight="1">
      <c r="A103" s="2">
        <v>106</v>
      </c>
      <c r="B103" s="2" t="s">
        <v>357</v>
      </c>
      <c r="C103" s="16"/>
      <c r="D103" s="23" t="s">
        <v>337</v>
      </c>
      <c r="E103" s="16" t="s">
        <v>77</v>
      </c>
      <c r="F103" s="23" t="s">
        <v>93</v>
      </c>
      <c r="G103" s="24" t="s">
        <v>347</v>
      </c>
      <c r="H103" s="1"/>
      <c r="I103" s="1"/>
      <c r="J103" s="1">
        <v>3</v>
      </c>
      <c r="K103" s="1"/>
      <c r="L103" s="1">
        <v>4</v>
      </c>
      <c r="M103" s="1">
        <v>4</v>
      </c>
      <c r="N103" s="1">
        <v>4</v>
      </c>
      <c r="O103" s="1">
        <v>4</v>
      </c>
      <c r="P103" s="1">
        <v>4</v>
      </c>
      <c r="Q103" s="1"/>
      <c r="R103" s="1">
        <v>5</v>
      </c>
      <c r="S103" s="1"/>
      <c r="T103" s="1"/>
      <c r="U103" s="1"/>
      <c r="V103" s="1"/>
      <c r="W103" s="1">
        <v>4</v>
      </c>
      <c r="X103" s="1"/>
      <c r="Y103" s="1"/>
      <c r="Z103" s="1"/>
      <c r="AA103" s="1"/>
      <c r="AB103" s="1"/>
      <c r="AC103" s="1">
        <v>4</v>
      </c>
      <c r="AD103" s="1">
        <v>3</v>
      </c>
      <c r="AE103" s="1"/>
      <c r="AF103" s="1"/>
      <c r="AG103" s="1"/>
      <c r="AH103" s="1">
        <v>3.5</v>
      </c>
      <c r="AI103" s="1"/>
      <c r="AJ103" s="1"/>
      <c r="AK103" s="1"/>
      <c r="AL103" s="1">
        <v>4</v>
      </c>
      <c r="AM103" s="35">
        <f t="shared" si="3"/>
        <v>41.5</v>
      </c>
      <c r="AN103" s="15"/>
      <c r="AO103" s="15">
        <f t="shared" si="4"/>
        <v>5</v>
      </c>
      <c r="AP103" s="15"/>
      <c r="AQ103" s="41">
        <v>6</v>
      </c>
      <c r="AR103" s="41">
        <v>2026</v>
      </c>
      <c r="AS103" s="16"/>
      <c r="AT103" s="20"/>
    </row>
    <row r="104" spans="1:46" ht="29.1" hidden="1" customHeight="1">
      <c r="A104" s="2">
        <v>107</v>
      </c>
      <c r="B104" s="2" t="s">
        <v>358</v>
      </c>
      <c r="C104" s="16"/>
      <c r="D104" s="23" t="s">
        <v>338</v>
      </c>
      <c r="E104" s="16" t="s">
        <v>74</v>
      </c>
      <c r="F104" s="23" t="s">
        <v>197</v>
      </c>
      <c r="G104" s="24" t="s">
        <v>348</v>
      </c>
      <c r="H104" s="1"/>
      <c r="I104" s="1"/>
      <c r="J104" s="1"/>
      <c r="K104" s="1"/>
      <c r="L104" s="1"/>
      <c r="M104" s="1">
        <v>4</v>
      </c>
      <c r="N104" s="1">
        <v>4</v>
      </c>
      <c r="O104" s="1">
        <v>6</v>
      </c>
      <c r="P104" s="1">
        <v>6</v>
      </c>
      <c r="Q104" s="1"/>
      <c r="R104" s="1"/>
      <c r="S104" s="1"/>
      <c r="T104" s="1">
        <v>2</v>
      </c>
      <c r="U104" s="1">
        <v>4</v>
      </c>
      <c r="V104" s="1"/>
      <c r="W104" s="1"/>
      <c r="X104" s="1">
        <v>6</v>
      </c>
      <c r="Y104" s="1"/>
      <c r="Z104" s="1">
        <v>4</v>
      </c>
      <c r="AA104" s="1">
        <v>4</v>
      </c>
      <c r="AB104" s="1">
        <v>4</v>
      </c>
      <c r="AC104" s="1"/>
      <c r="AD104" s="1">
        <v>4</v>
      </c>
      <c r="AE104" s="1">
        <v>2</v>
      </c>
      <c r="AF104" s="1"/>
      <c r="AG104" s="1">
        <v>4</v>
      </c>
      <c r="AH104" s="1">
        <v>2</v>
      </c>
      <c r="AI104" s="1">
        <v>4</v>
      </c>
      <c r="AJ104" s="1">
        <v>4</v>
      </c>
      <c r="AK104" s="1">
        <v>3</v>
      </c>
      <c r="AL104" s="1"/>
      <c r="AM104" s="35">
        <f t="shared" si="3"/>
        <v>67</v>
      </c>
      <c r="AN104" s="15"/>
      <c r="AO104" s="15">
        <f t="shared" si="4"/>
        <v>0</v>
      </c>
      <c r="AP104" s="15"/>
      <c r="AQ104" s="41">
        <v>6</v>
      </c>
      <c r="AR104" s="41">
        <v>2026</v>
      </c>
      <c r="AS104" s="16"/>
      <c r="AT104" s="20"/>
    </row>
    <row r="105" spans="1:46" ht="29.1" hidden="1" customHeight="1">
      <c r="A105" s="2">
        <v>108</v>
      </c>
      <c r="B105" s="2" t="s">
        <v>359</v>
      </c>
      <c r="C105" s="16"/>
      <c r="D105" s="23" t="s">
        <v>339</v>
      </c>
      <c r="E105" s="16" t="s">
        <v>74</v>
      </c>
      <c r="F105" s="23" t="s">
        <v>197</v>
      </c>
      <c r="G105" s="24" t="s">
        <v>349</v>
      </c>
      <c r="H105" s="1"/>
      <c r="I105" s="1"/>
      <c r="J105" s="1"/>
      <c r="K105" s="1"/>
      <c r="L105" s="1"/>
      <c r="M105" s="1"/>
      <c r="N105" s="1">
        <v>4</v>
      </c>
      <c r="O105" s="1">
        <v>4</v>
      </c>
      <c r="P105" s="1">
        <v>6</v>
      </c>
      <c r="Q105" s="1"/>
      <c r="R105" s="1"/>
      <c r="S105" s="1"/>
      <c r="T105" s="1">
        <v>2</v>
      </c>
      <c r="U105" s="1">
        <v>4</v>
      </c>
      <c r="V105" s="1"/>
      <c r="W105" s="1"/>
      <c r="X105" s="1">
        <v>4</v>
      </c>
      <c r="Y105" s="1"/>
      <c r="Z105" s="1">
        <v>2</v>
      </c>
      <c r="AA105" s="1">
        <v>4</v>
      </c>
      <c r="AB105" s="1"/>
      <c r="AC105" s="1">
        <v>4</v>
      </c>
      <c r="AD105" s="1">
        <v>4</v>
      </c>
      <c r="AE105" s="1"/>
      <c r="AF105" s="1"/>
      <c r="AG105" s="1">
        <v>4</v>
      </c>
      <c r="AH105" s="1">
        <v>4</v>
      </c>
      <c r="AI105" s="1">
        <v>4</v>
      </c>
      <c r="AJ105" s="1">
        <v>4</v>
      </c>
      <c r="AK105" s="1"/>
      <c r="AL105" s="1">
        <v>4</v>
      </c>
      <c r="AM105" s="35">
        <f t="shared" si="3"/>
        <v>58</v>
      </c>
      <c r="AN105" s="15"/>
      <c r="AO105" s="15">
        <f t="shared" si="4"/>
        <v>0</v>
      </c>
      <c r="AP105" s="15"/>
      <c r="AQ105" s="41">
        <v>6</v>
      </c>
      <c r="AR105" s="41">
        <v>2026</v>
      </c>
      <c r="AS105" s="16"/>
      <c r="AT105" s="20"/>
    </row>
    <row r="106" spans="1:46" ht="29.1" hidden="1" customHeight="1">
      <c r="A106" s="2">
        <v>109</v>
      </c>
      <c r="B106" s="2" t="s">
        <v>360</v>
      </c>
      <c r="C106" s="16"/>
      <c r="D106" s="23" t="s">
        <v>340</v>
      </c>
      <c r="E106" s="16" t="s">
        <v>74</v>
      </c>
      <c r="F106" s="23" t="s">
        <v>197</v>
      </c>
      <c r="G106" s="24" t="s">
        <v>349</v>
      </c>
      <c r="H106" s="1"/>
      <c r="I106" s="1"/>
      <c r="J106" s="1"/>
      <c r="K106" s="1"/>
      <c r="L106" s="1"/>
      <c r="M106" s="1"/>
      <c r="N106" s="1">
        <v>4</v>
      </c>
      <c r="O106" s="1"/>
      <c r="P106" s="1">
        <v>4</v>
      </c>
      <c r="Q106" s="1">
        <v>4</v>
      </c>
      <c r="R106" s="1"/>
      <c r="S106" s="1"/>
      <c r="T106" s="1"/>
      <c r="U106" s="1">
        <v>4</v>
      </c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35">
        <f t="shared" si="3"/>
        <v>16</v>
      </c>
      <c r="AN106" s="15"/>
      <c r="AO106" s="15">
        <f t="shared" si="4"/>
        <v>0</v>
      </c>
      <c r="AP106" s="15"/>
      <c r="AQ106" s="41">
        <v>6</v>
      </c>
      <c r="AR106" s="41">
        <v>2026</v>
      </c>
      <c r="AS106" s="16"/>
      <c r="AT106" s="20"/>
    </row>
    <row r="107" spans="1:46" ht="29.1" hidden="1" customHeight="1">
      <c r="A107" s="2">
        <v>110</v>
      </c>
      <c r="B107" s="2" t="s">
        <v>361</v>
      </c>
      <c r="C107" s="16"/>
      <c r="D107" s="23" t="s">
        <v>341</v>
      </c>
      <c r="E107" s="16" t="s">
        <v>74</v>
      </c>
      <c r="F107" s="23" t="s">
        <v>197</v>
      </c>
      <c r="G107" s="24" t="s">
        <v>349</v>
      </c>
      <c r="H107" s="1"/>
      <c r="I107" s="1"/>
      <c r="J107" s="1"/>
      <c r="K107" s="1"/>
      <c r="L107" s="1"/>
      <c r="M107" s="1"/>
      <c r="N107" s="1"/>
      <c r="O107" s="1"/>
      <c r="P107" s="1">
        <v>4</v>
      </c>
      <c r="Q107" s="1"/>
      <c r="R107" s="1"/>
      <c r="S107" s="1"/>
      <c r="T107" s="1"/>
      <c r="U107" s="1">
        <v>4</v>
      </c>
      <c r="V107" s="1"/>
      <c r="W107" s="1"/>
      <c r="X107" s="1"/>
      <c r="Y107" s="1"/>
      <c r="Z107" s="1"/>
      <c r="AA107" s="1"/>
      <c r="AB107" s="1">
        <v>4</v>
      </c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35">
        <f t="shared" si="3"/>
        <v>12</v>
      </c>
      <c r="AN107" s="15"/>
      <c r="AO107" s="15">
        <f t="shared" si="4"/>
        <v>0</v>
      </c>
      <c r="AP107" s="15"/>
      <c r="AQ107" s="41">
        <v>6</v>
      </c>
      <c r="AR107" s="41">
        <v>2026</v>
      </c>
      <c r="AS107" s="16"/>
      <c r="AT107" s="20"/>
    </row>
    <row r="108" spans="1:46" ht="29.1" hidden="1" customHeight="1">
      <c r="A108" s="2">
        <v>111</v>
      </c>
      <c r="B108" s="2" t="s">
        <v>362</v>
      </c>
      <c r="C108" s="16"/>
      <c r="D108" s="23" t="s">
        <v>222</v>
      </c>
      <c r="E108" s="16" t="s">
        <v>74</v>
      </c>
      <c r="F108" s="23" t="s">
        <v>197</v>
      </c>
      <c r="G108" s="24" t="s">
        <v>349</v>
      </c>
      <c r="H108" s="1"/>
      <c r="I108" s="1"/>
      <c r="J108" s="1"/>
      <c r="K108" s="1"/>
      <c r="L108" s="1"/>
      <c r="M108" s="1">
        <v>4</v>
      </c>
      <c r="N108" s="1">
        <v>4</v>
      </c>
      <c r="O108" s="1">
        <v>4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>
        <v>4</v>
      </c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35">
        <f t="shared" si="3"/>
        <v>16</v>
      </c>
      <c r="AN108" s="15"/>
      <c r="AO108" s="15">
        <f t="shared" si="4"/>
        <v>0</v>
      </c>
      <c r="AP108" s="15"/>
      <c r="AQ108" s="41">
        <v>6</v>
      </c>
      <c r="AR108" s="41">
        <v>2026</v>
      </c>
      <c r="AS108" s="16"/>
      <c r="AT108" s="20"/>
    </row>
    <row r="109" spans="1:46" ht="29.1" hidden="1" customHeight="1">
      <c r="A109" s="2">
        <v>112</v>
      </c>
      <c r="B109" s="2" t="s">
        <v>363</v>
      </c>
      <c r="C109" s="16"/>
      <c r="D109" s="23" t="s">
        <v>243</v>
      </c>
      <c r="E109" s="16" t="s">
        <v>74</v>
      </c>
      <c r="F109" s="23" t="s">
        <v>197</v>
      </c>
      <c r="G109" s="24" t="s">
        <v>349</v>
      </c>
      <c r="H109" s="1"/>
      <c r="I109" s="1"/>
      <c r="J109" s="1"/>
      <c r="K109" s="1"/>
      <c r="L109" s="1"/>
      <c r="M109" s="1">
        <v>4</v>
      </c>
      <c r="N109" s="1">
        <v>4</v>
      </c>
      <c r="O109" s="1">
        <v>5</v>
      </c>
      <c r="P109" s="1">
        <v>6</v>
      </c>
      <c r="Q109" s="1"/>
      <c r="R109" s="1"/>
      <c r="S109" s="1">
        <v>4</v>
      </c>
      <c r="T109" s="1">
        <v>4</v>
      </c>
      <c r="U109" s="1">
        <v>4</v>
      </c>
      <c r="V109" s="1"/>
      <c r="W109" s="1">
        <v>4</v>
      </c>
      <c r="X109" s="1"/>
      <c r="Y109" s="1"/>
      <c r="Z109" s="1"/>
      <c r="AA109" s="1">
        <v>4</v>
      </c>
      <c r="AB109" s="1">
        <v>4</v>
      </c>
      <c r="AC109" s="1">
        <v>4</v>
      </c>
      <c r="AD109" s="1"/>
      <c r="AE109" s="1">
        <v>4</v>
      </c>
      <c r="AF109" s="1"/>
      <c r="AG109" s="1"/>
      <c r="AH109" s="1"/>
      <c r="AI109" s="1"/>
      <c r="AJ109" s="1"/>
      <c r="AK109" s="1">
        <v>1</v>
      </c>
      <c r="AL109" s="1"/>
      <c r="AM109" s="35">
        <f t="shared" si="3"/>
        <v>52</v>
      </c>
      <c r="AN109" s="15"/>
      <c r="AO109" s="15">
        <f t="shared" si="4"/>
        <v>0</v>
      </c>
      <c r="AP109" s="15"/>
      <c r="AQ109" s="41">
        <v>6</v>
      </c>
      <c r="AR109" s="41">
        <v>2026</v>
      </c>
      <c r="AS109" s="16"/>
      <c r="AT109" s="20"/>
    </row>
    <row r="110" spans="1:46" ht="29.1" hidden="1" customHeight="1">
      <c r="A110" s="2">
        <v>113</v>
      </c>
      <c r="B110" s="2" t="s">
        <v>364</v>
      </c>
      <c r="C110" s="16"/>
      <c r="D110" s="23" t="s">
        <v>342</v>
      </c>
      <c r="E110" s="16" t="s">
        <v>74</v>
      </c>
      <c r="F110" s="23" t="s">
        <v>197</v>
      </c>
      <c r="G110" s="24" t="s">
        <v>350</v>
      </c>
      <c r="H110" s="1"/>
      <c r="I110" s="1"/>
      <c r="J110" s="1"/>
      <c r="K110" s="1"/>
      <c r="L110" s="1"/>
      <c r="M110" s="1"/>
      <c r="N110" s="1"/>
      <c r="O110" s="1"/>
      <c r="P110" s="1">
        <v>4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35">
        <f t="shared" si="3"/>
        <v>4</v>
      </c>
      <c r="AN110" s="15"/>
      <c r="AO110" s="15">
        <f t="shared" si="4"/>
        <v>0</v>
      </c>
      <c r="AP110" s="15"/>
      <c r="AQ110" s="41">
        <v>6</v>
      </c>
      <c r="AR110" s="41">
        <v>2026</v>
      </c>
      <c r="AS110" s="16"/>
      <c r="AT110" s="20"/>
    </row>
    <row r="111" spans="1:46" ht="29.1" hidden="1" customHeight="1">
      <c r="A111" s="2">
        <v>114</v>
      </c>
      <c r="B111" s="2" t="s">
        <v>365</v>
      </c>
      <c r="C111" s="16"/>
      <c r="D111" s="23" t="s">
        <v>345</v>
      </c>
      <c r="E111" s="16" t="s">
        <v>74</v>
      </c>
      <c r="F111" s="23" t="s">
        <v>197</v>
      </c>
      <c r="G111" s="24" t="s">
        <v>351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35">
        <f t="shared" si="3"/>
        <v>0</v>
      </c>
      <c r="AN111" s="15"/>
      <c r="AO111" s="15">
        <f t="shared" si="4"/>
        <v>0</v>
      </c>
      <c r="AP111" s="15"/>
      <c r="AQ111" s="41">
        <v>6</v>
      </c>
      <c r="AR111" s="41">
        <v>2026</v>
      </c>
      <c r="AS111" s="16"/>
      <c r="AT111" s="20"/>
    </row>
    <row r="112" spans="1:46" ht="29.1" hidden="1" customHeight="1">
      <c r="A112" s="2">
        <v>115</v>
      </c>
      <c r="B112" s="2" t="s">
        <v>366</v>
      </c>
      <c r="C112" s="16"/>
      <c r="D112" s="23" t="s">
        <v>343</v>
      </c>
      <c r="E112" s="16" t="s">
        <v>74</v>
      </c>
      <c r="F112" s="23" t="s">
        <v>197</v>
      </c>
      <c r="G112" s="24" t="s">
        <v>351</v>
      </c>
      <c r="H112" s="1"/>
      <c r="I112" s="1"/>
      <c r="J112" s="1"/>
      <c r="K112" s="1"/>
      <c r="L112" s="1"/>
      <c r="M112" s="1"/>
      <c r="N112" s="1"/>
      <c r="O112" s="1">
        <v>4</v>
      </c>
      <c r="P112" s="1">
        <v>4</v>
      </c>
      <c r="Q112" s="1"/>
      <c r="R112" s="1"/>
      <c r="S112" s="1"/>
      <c r="T112" s="1"/>
      <c r="U112" s="1"/>
      <c r="V112" s="1"/>
      <c r="W112" s="1"/>
      <c r="X112" s="1"/>
      <c r="Y112" s="1"/>
      <c r="Z112" s="1">
        <v>5</v>
      </c>
      <c r="AA112" s="1"/>
      <c r="AB112" s="1">
        <v>4</v>
      </c>
      <c r="AC112" s="1">
        <v>4</v>
      </c>
      <c r="AD112" s="1"/>
      <c r="AE112" s="1">
        <v>4</v>
      </c>
      <c r="AF112" s="1"/>
      <c r="AG112" s="1"/>
      <c r="AH112" s="1"/>
      <c r="AI112" s="1"/>
      <c r="AJ112" s="1"/>
      <c r="AK112" s="1"/>
      <c r="AL112" s="1"/>
      <c r="AM112" s="35">
        <f t="shared" si="3"/>
        <v>25</v>
      </c>
      <c r="AN112" s="15"/>
      <c r="AO112" s="15">
        <f t="shared" si="4"/>
        <v>0</v>
      </c>
      <c r="AP112" s="15"/>
      <c r="AQ112" s="41">
        <v>6</v>
      </c>
      <c r="AR112" s="41">
        <v>2026</v>
      </c>
      <c r="AS112" s="16"/>
      <c r="AT112" s="20"/>
    </row>
    <row r="113" spans="1:46" ht="29.1" hidden="1" customHeight="1">
      <c r="A113" s="2">
        <v>116</v>
      </c>
      <c r="B113" s="2" t="s">
        <v>367</v>
      </c>
      <c r="C113" s="16"/>
      <c r="D113" s="23" t="s">
        <v>344</v>
      </c>
      <c r="E113" s="16" t="s">
        <v>74</v>
      </c>
      <c r="F113" s="23" t="s">
        <v>197</v>
      </c>
      <c r="G113" s="24" t="s">
        <v>351</v>
      </c>
      <c r="H113" s="1"/>
      <c r="I113" s="1"/>
      <c r="J113" s="1"/>
      <c r="K113" s="1"/>
      <c r="L113" s="1"/>
      <c r="M113" s="1"/>
      <c r="N113" s="1"/>
      <c r="O113" s="1"/>
      <c r="P113" s="1">
        <v>4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35">
        <f t="shared" si="3"/>
        <v>4</v>
      </c>
      <c r="AN113" s="15"/>
      <c r="AO113" s="15">
        <f t="shared" si="4"/>
        <v>0</v>
      </c>
      <c r="AP113" s="15"/>
      <c r="AQ113" s="41">
        <v>6</v>
      </c>
      <c r="AR113" s="41">
        <v>2026</v>
      </c>
      <c r="AS113" s="16"/>
      <c r="AT113" s="20"/>
    </row>
    <row r="114" spans="1:46" ht="29.1" hidden="1" customHeight="1">
      <c r="A114" s="2">
        <v>117</v>
      </c>
      <c r="B114" s="2" t="s">
        <v>368</v>
      </c>
      <c r="C114" s="16"/>
      <c r="D114" s="23" t="s">
        <v>285</v>
      </c>
      <c r="E114" s="16" t="s">
        <v>74</v>
      </c>
      <c r="F114" s="23" t="s">
        <v>197</v>
      </c>
      <c r="G114" s="24" t="s">
        <v>351</v>
      </c>
      <c r="H114" s="1"/>
      <c r="I114" s="1"/>
      <c r="J114" s="1"/>
      <c r="K114" s="1"/>
      <c r="L114" s="1"/>
      <c r="M114" s="1"/>
      <c r="N114" s="1"/>
      <c r="O114" s="1"/>
      <c r="P114" s="1">
        <v>4</v>
      </c>
      <c r="Q114" s="1"/>
      <c r="R114" s="1"/>
      <c r="S114" s="1"/>
      <c r="T114" s="1">
        <v>4</v>
      </c>
      <c r="U114" s="1"/>
      <c r="V114" s="1"/>
      <c r="W114" s="1"/>
      <c r="X114" s="1"/>
      <c r="Y114" s="1"/>
      <c r="Z114" s="1"/>
      <c r="AA114" s="1"/>
      <c r="AB114" s="1">
        <v>4</v>
      </c>
      <c r="AC114" s="1">
        <v>2</v>
      </c>
      <c r="AD114" s="1"/>
      <c r="AE114" s="1"/>
      <c r="AF114" s="1"/>
      <c r="AG114" s="1"/>
      <c r="AH114" s="1"/>
      <c r="AI114" s="1"/>
      <c r="AJ114" s="1"/>
      <c r="AK114" s="1"/>
      <c r="AL114" s="1">
        <v>4</v>
      </c>
      <c r="AM114" s="35">
        <f t="shared" si="3"/>
        <v>18</v>
      </c>
      <c r="AN114" s="15"/>
      <c r="AO114" s="15">
        <f t="shared" si="4"/>
        <v>0</v>
      </c>
      <c r="AP114" s="15"/>
      <c r="AQ114" s="41">
        <v>6</v>
      </c>
      <c r="AR114" s="41">
        <v>2026</v>
      </c>
      <c r="AS114" s="16"/>
      <c r="AT114" s="20"/>
    </row>
    <row r="115" spans="1:46" ht="29.1" hidden="1" customHeight="1">
      <c r="A115" s="2">
        <v>118</v>
      </c>
      <c r="B115" s="2" t="s">
        <v>369</v>
      </c>
      <c r="C115" s="16"/>
      <c r="D115" s="23" t="s">
        <v>283</v>
      </c>
      <c r="E115" s="16" t="s">
        <v>74</v>
      </c>
      <c r="F115" s="23" t="s">
        <v>197</v>
      </c>
      <c r="G115" s="24" t="s">
        <v>351</v>
      </c>
      <c r="H115" s="1"/>
      <c r="I115" s="1"/>
      <c r="J115" s="1"/>
      <c r="K115" s="1"/>
      <c r="L115" s="1"/>
      <c r="M115" s="1"/>
      <c r="N115" s="1"/>
      <c r="O115" s="1">
        <v>4</v>
      </c>
      <c r="P115" s="1"/>
      <c r="Q115" s="1"/>
      <c r="R115" s="1"/>
      <c r="S115" s="1"/>
      <c r="T115" s="1"/>
      <c r="U115" s="1"/>
      <c r="V115" s="1"/>
      <c r="W115" s="1"/>
      <c r="X115" s="1">
        <v>4</v>
      </c>
      <c r="Y115" s="1"/>
      <c r="Z115" s="1"/>
      <c r="AA115" s="1">
        <v>4</v>
      </c>
      <c r="AB115" s="1"/>
      <c r="AC115" s="1">
        <v>4</v>
      </c>
      <c r="AD115" s="1"/>
      <c r="AE115" s="1"/>
      <c r="AF115" s="1"/>
      <c r="AG115" s="1"/>
      <c r="AH115" s="1"/>
      <c r="AI115" s="1"/>
      <c r="AJ115" s="1"/>
      <c r="AK115" s="1"/>
      <c r="AL115" s="1"/>
      <c r="AM115" s="35">
        <f t="shared" si="3"/>
        <v>16</v>
      </c>
      <c r="AN115" s="15"/>
      <c r="AO115" s="15">
        <f t="shared" si="4"/>
        <v>0</v>
      </c>
      <c r="AP115" s="15"/>
      <c r="AQ115" s="41">
        <v>6</v>
      </c>
      <c r="AR115" s="41">
        <v>2026</v>
      </c>
      <c r="AS115" s="16"/>
      <c r="AT115" s="20"/>
    </row>
    <row r="116" spans="1:46" ht="29.1" hidden="1" customHeight="1">
      <c r="A116" s="2">
        <v>119</v>
      </c>
      <c r="B116" s="2" t="s">
        <v>370</v>
      </c>
      <c r="C116" s="16"/>
      <c r="D116" s="23" t="s">
        <v>346</v>
      </c>
      <c r="E116" s="16" t="s">
        <v>74</v>
      </c>
      <c r="F116" s="23" t="s">
        <v>197</v>
      </c>
      <c r="G116" s="24" t="s">
        <v>352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35">
        <f t="shared" si="3"/>
        <v>0</v>
      </c>
      <c r="AN116" s="15"/>
      <c r="AO116" s="15">
        <f t="shared" si="4"/>
        <v>0</v>
      </c>
      <c r="AP116" s="15"/>
      <c r="AQ116" s="41">
        <v>6</v>
      </c>
      <c r="AR116" s="41">
        <v>2026</v>
      </c>
      <c r="AS116" s="16"/>
      <c r="AT116" s="20"/>
    </row>
    <row r="117" spans="1:46" ht="29.1" hidden="1" customHeight="1">
      <c r="A117" s="2">
        <v>120</v>
      </c>
      <c r="B117" s="2" t="s">
        <v>371</v>
      </c>
      <c r="C117" s="16"/>
      <c r="D117" s="23" t="s">
        <v>372</v>
      </c>
      <c r="E117" s="16" t="s">
        <v>74</v>
      </c>
      <c r="F117" s="23" t="s">
        <v>197</v>
      </c>
      <c r="G117" s="24" t="s">
        <v>373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35">
        <f t="shared" si="3"/>
        <v>0</v>
      </c>
      <c r="AN117" s="15"/>
      <c r="AO117" s="15">
        <f t="shared" si="4"/>
        <v>0</v>
      </c>
      <c r="AP117" s="15"/>
      <c r="AQ117" s="41">
        <v>6</v>
      </c>
      <c r="AR117" s="41">
        <v>2026</v>
      </c>
      <c r="AS117" s="16"/>
      <c r="AT117" s="20"/>
    </row>
    <row r="118" spans="1:46" ht="29.1" hidden="1" customHeight="1">
      <c r="A118" s="2">
        <v>121</v>
      </c>
      <c r="B118" s="2" t="s">
        <v>382</v>
      </c>
      <c r="C118" s="16"/>
      <c r="D118" s="23" t="s">
        <v>377</v>
      </c>
      <c r="E118" s="16" t="s">
        <v>77</v>
      </c>
      <c r="F118" s="23" t="s">
        <v>93</v>
      </c>
      <c r="G118" s="24" t="s">
        <v>373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>
        <v>1</v>
      </c>
      <c r="T118" s="1">
        <v>3.5</v>
      </c>
      <c r="U118" s="1">
        <v>4</v>
      </c>
      <c r="V118" s="1">
        <v>2.5</v>
      </c>
      <c r="W118" s="1">
        <v>2</v>
      </c>
      <c r="X118" s="1">
        <v>4</v>
      </c>
      <c r="Y118" s="1"/>
      <c r="Z118" s="1">
        <v>2</v>
      </c>
      <c r="AA118" s="1">
        <v>2</v>
      </c>
      <c r="AB118" s="1">
        <v>2.5</v>
      </c>
      <c r="AC118" s="1">
        <v>2</v>
      </c>
      <c r="AD118" s="1">
        <v>4</v>
      </c>
      <c r="AE118" s="1">
        <v>4</v>
      </c>
      <c r="AF118" s="1"/>
      <c r="AG118" s="1">
        <v>4.5</v>
      </c>
      <c r="AH118" s="1">
        <v>5.5</v>
      </c>
      <c r="AI118" s="1">
        <v>6</v>
      </c>
      <c r="AJ118" s="1">
        <v>6</v>
      </c>
      <c r="AK118" s="1">
        <v>6</v>
      </c>
      <c r="AL118" s="1">
        <v>2</v>
      </c>
      <c r="AM118" s="35">
        <f t="shared" si="3"/>
        <v>63.5</v>
      </c>
      <c r="AN118" s="15"/>
      <c r="AO118" s="15">
        <f t="shared" si="4"/>
        <v>0</v>
      </c>
      <c r="AP118" s="15"/>
      <c r="AQ118" s="41">
        <v>6</v>
      </c>
      <c r="AR118" s="41">
        <v>2026</v>
      </c>
      <c r="AS118" s="16"/>
      <c r="AT118" s="20"/>
    </row>
    <row r="119" spans="1:46" ht="29.1" hidden="1" customHeight="1">
      <c r="A119" s="2">
        <v>122</v>
      </c>
      <c r="B119" s="2" t="s">
        <v>383</v>
      </c>
      <c r="C119" s="16"/>
      <c r="D119" s="23" t="s">
        <v>378</v>
      </c>
      <c r="E119" s="16" t="s">
        <v>77</v>
      </c>
      <c r="F119" s="23" t="s">
        <v>93</v>
      </c>
      <c r="G119" s="24" t="s">
        <v>373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>
        <v>4</v>
      </c>
      <c r="X119" s="1">
        <v>4</v>
      </c>
      <c r="Y119" s="1"/>
      <c r="Z119" s="1">
        <v>4</v>
      </c>
      <c r="AA119" s="1">
        <v>6</v>
      </c>
      <c r="AB119" s="1">
        <v>4.5</v>
      </c>
      <c r="AC119" s="1"/>
      <c r="AD119" s="1">
        <v>6</v>
      </c>
      <c r="AE119" s="1"/>
      <c r="AF119" s="1"/>
      <c r="AG119" s="1"/>
      <c r="AH119" s="1"/>
      <c r="AI119" s="1"/>
      <c r="AJ119" s="1"/>
      <c r="AK119" s="1"/>
      <c r="AL119" s="1">
        <v>4</v>
      </c>
      <c r="AM119" s="35">
        <f t="shared" si="3"/>
        <v>32.5</v>
      </c>
      <c r="AN119" s="15"/>
      <c r="AO119" s="15">
        <f t="shared" si="4"/>
        <v>0</v>
      </c>
      <c r="AP119" s="15"/>
      <c r="AQ119" s="41">
        <v>6</v>
      </c>
      <c r="AR119" s="41">
        <v>2026</v>
      </c>
      <c r="AS119" s="16"/>
      <c r="AT119" s="20"/>
    </row>
    <row r="120" spans="1:46" ht="29.1" hidden="1" customHeight="1">
      <c r="A120" s="2">
        <v>123</v>
      </c>
      <c r="B120" s="2" t="s">
        <v>400</v>
      </c>
      <c r="C120" s="16"/>
      <c r="D120" s="23" t="s">
        <v>401</v>
      </c>
      <c r="E120" s="16" t="s">
        <v>74</v>
      </c>
      <c r="F120" s="23" t="s">
        <v>197</v>
      </c>
      <c r="G120" s="24" t="s">
        <v>373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>
        <v>4</v>
      </c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35"/>
      <c r="AN120" s="15"/>
      <c r="AO120" s="15"/>
      <c r="AP120" s="15"/>
      <c r="AQ120" s="41"/>
      <c r="AR120" s="41"/>
      <c r="AS120" s="16"/>
      <c r="AT120" s="20"/>
    </row>
    <row r="121" spans="1:46" ht="29.1" hidden="1" customHeight="1">
      <c r="A121" s="2">
        <v>124</v>
      </c>
      <c r="B121" s="2" t="s">
        <v>384</v>
      </c>
      <c r="C121" s="16"/>
      <c r="D121" s="23" t="s">
        <v>379</v>
      </c>
      <c r="E121" s="16" t="s">
        <v>74</v>
      </c>
      <c r="F121" s="23" t="s">
        <v>197</v>
      </c>
      <c r="G121" s="24" t="s">
        <v>381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35">
        <f t="shared" si="3"/>
        <v>0</v>
      </c>
      <c r="AN121" s="15"/>
      <c r="AO121" s="15">
        <f t="shared" si="4"/>
        <v>0</v>
      </c>
      <c r="AP121" s="15"/>
      <c r="AQ121" s="41">
        <v>6</v>
      </c>
      <c r="AR121" s="41">
        <v>2026</v>
      </c>
      <c r="AS121" s="16"/>
      <c r="AT121" s="20"/>
    </row>
    <row r="122" spans="1:46" ht="29.1" hidden="1" customHeight="1">
      <c r="A122" s="2">
        <v>125</v>
      </c>
      <c r="B122" s="2" t="s">
        <v>385</v>
      </c>
      <c r="C122" s="16"/>
      <c r="D122" s="23" t="s">
        <v>380</v>
      </c>
      <c r="E122" s="16" t="s">
        <v>77</v>
      </c>
      <c r="F122" s="23" t="s">
        <v>93</v>
      </c>
      <c r="G122" s="24" t="s">
        <v>381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>
        <v>4</v>
      </c>
      <c r="U122" s="1">
        <v>4</v>
      </c>
      <c r="V122" s="1"/>
      <c r="W122" s="1"/>
      <c r="X122" s="1">
        <v>2</v>
      </c>
      <c r="Y122" s="1"/>
      <c r="Z122" s="1"/>
      <c r="AA122" s="1"/>
      <c r="AB122" s="1"/>
      <c r="AC122" s="1"/>
      <c r="AD122" s="1">
        <v>4</v>
      </c>
      <c r="AE122" s="1"/>
      <c r="AF122" s="1"/>
      <c r="AG122" s="1"/>
      <c r="AH122" s="1"/>
      <c r="AI122" s="1"/>
      <c r="AJ122" s="1"/>
      <c r="AK122" s="1"/>
      <c r="AL122" s="1"/>
      <c r="AM122" s="35">
        <f t="shared" si="3"/>
        <v>14</v>
      </c>
      <c r="AN122" s="15"/>
      <c r="AO122" s="15">
        <f t="shared" si="4"/>
        <v>0</v>
      </c>
      <c r="AP122" s="15"/>
      <c r="AQ122" s="41">
        <v>6</v>
      </c>
      <c r="AR122" s="41">
        <v>2026</v>
      </c>
      <c r="AS122" s="16"/>
      <c r="AT122" s="20"/>
    </row>
    <row r="123" spans="1:46" ht="29.1" hidden="1" customHeight="1">
      <c r="A123" s="2">
        <v>126</v>
      </c>
      <c r="B123" s="26" t="s">
        <v>387</v>
      </c>
      <c r="C123" s="8"/>
      <c r="D123" s="33" t="s">
        <v>386</v>
      </c>
      <c r="E123" s="37" t="s">
        <v>74</v>
      </c>
      <c r="F123" s="33" t="s">
        <v>197</v>
      </c>
      <c r="G123" s="38" t="s">
        <v>389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35">
        <f t="shared" si="3"/>
        <v>0</v>
      </c>
      <c r="AN123" s="15"/>
      <c r="AO123" s="15">
        <f t="shared" si="4"/>
        <v>0</v>
      </c>
      <c r="AP123" s="15"/>
      <c r="AQ123" s="41">
        <v>6</v>
      </c>
      <c r="AR123" s="41">
        <v>2026</v>
      </c>
      <c r="AS123" s="16"/>
      <c r="AT123" s="20"/>
    </row>
    <row r="124" spans="1:46" ht="29.1" hidden="1" customHeight="1">
      <c r="A124" s="2">
        <v>127</v>
      </c>
      <c r="B124" s="2" t="s">
        <v>388</v>
      </c>
      <c r="C124" s="16"/>
      <c r="D124" s="23" t="s">
        <v>36</v>
      </c>
      <c r="E124" s="39" t="s">
        <v>77</v>
      </c>
      <c r="F124" s="23" t="s">
        <v>46</v>
      </c>
      <c r="G124" s="40" t="s">
        <v>390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35">
        <f t="shared" si="3"/>
        <v>0</v>
      </c>
      <c r="AN124" s="15"/>
      <c r="AO124" s="15">
        <f t="shared" si="4"/>
        <v>0</v>
      </c>
      <c r="AP124" s="15"/>
      <c r="AQ124" s="41">
        <v>6</v>
      </c>
      <c r="AR124" s="41">
        <v>2026</v>
      </c>
      <c r="AS124" s="16"/>
      <c r="AT124" s="20"/>
    </row>
    <row r="125" spans="1:46" ht="29.1" hidden="1" customHeight="1">
      <c r="A125" s="2">
        <v>128</v>
      </c>
      <c r="B125" s="2" t="s">
        <v>391</v>
      </c>
      <c r="C125" s="16"/>
      <c r="D125" s="23" t="s">
        <v>392</v>
      </c>
      <c r="E125" s="39" t="s">
        <v>74</v>
      </c>
      <c r="F125" s="23" t="s">
        <v>393</v>
      </c>
      <c r="G125" s="40" t="s">
        <v>394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>
        <v>4</v>
      </c>
      <c r="AB125" s="1">
        <v>4</v>
      </c>
      <c r="AC125" s="1">
        <v>4</v>
      </c>
      <c r="AD125" s="1">
        <v>4</v>
      </c>
      <c r="AE125" s="1">
        <v>2</v>
      </c>
      <c r="AF125" s="1"/>
      <c r="AG125" s="1">
        <v>2.5</v>
      </c>
      <c r="AH125" s="1">
        <v>4</v>
      </c>
      <c r="AI125" s="1">
        <v>4</v>
      </c>
      <c r="AJ125" s="1">
        <v>4</v>
      </c>
      <c r="AK125" s="1"/>
      <c r="AL125" s="1">
        <v>4</v>
      </c>
      <c r="AM125" s="35">
        <f t="shared" si="3"/>
        <v>36.5</v>
      </c>
      <c r="AN125" s="15"/>
      <c r="AO125" s="15">
        <f t="shared" si="4"/>
        <v>0</v>
      </c>
      <c r="AP125" s="15"/>
      <c r="AQ125" s="41">
        <v>6</v>
      </c>
      <c r="AR125" s="41">
        <v>2026</v>
      </c>
      <c r="AS125" s="16"/>
      <c r="AT125" s="20"/>
    </row>
    <row r="126" spans="1:46" ht="29.1" hidden="1" customHeight="1">
      <c r="A126" s="2">
        <v>129</v>
      </c>
      <c r="B126" s="2" t="s">
        <v>398</v>
      </c>
      <c r="C126" s="16"/>
      <c r="D126" s="23" t="s">
        <v>396</v>
      </c>
      <c r="E126" s="39" t="s">
        <v>74</v>
      </c>
      <c r="F126" s="23" t="s">
        <v>197</v>
      </c>
      <c r="G126" s="40" t="s">
        <v>397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35">
        <f t="shared" ref="AM126:AM127" si="5">SUM(H126:AL126)-AN126-AO126</f>
        <v>0</v>
      </c>
      <c r="AN126" s="15"/>
      <c r="AO126" s="15">
        <f t="shared" ref="AO126:AO127" si="6">K126+R126+Y126+AF126</f>
        <v>0</v>
      </c>
      <c r="AP126" s="15"/>
      <c r="AQ126" s="41">
        <v>6</v>
      </c>
      <c r="AR126" s="41">
        <v>2026</v>
      </c>
      <c r="AS126" s="16"/>
      <c r="AT126" s="20"/>
    </row>
    <row r="127" spans="1:46" ht="29.1" hidden="1" customHeight="1">
      <c r="A127" s="2">
        <v>130</v>
      </c>
      <c r="B127" s="2" t="s">
        <v>399</v>
      </c>
      <c r="C127" s="16"/>
      <c r="D127" s="23" t="s">
        <v>395</v>
      </c>
      <c r="E127" s="39" t="s">
        <v>74</v>
      </c>
      <c r="F127" s="23" t="s">
        <v>197</v>
      </c>
      <c r="G127" s="40" t="s">
        <v>397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35">
        <f t="shared" si="5"/>
        <v>0</v>
      </c>
      <c r="AN127" s="15"/>
      <c r="AO127" s="15">
        <f t="shared" si="6"/>
        <v>0</v>
      </c>
      <c r="AP127" s="15"/>
      <c r="AQ127" s="41">
        <v>6</v>
      </c>
      <c r="AR127" s="41">
        <v>2026</v>
      </c>
      <c r="AS127" s="16"/>
      <c r="AT127" s="20"/>
    </row>
  </sheetData>
  <autoFilter ref="A7:AU127" xr:uid="{82FAD525-2147-42FF-8A3D-589504BD34A3}">
    <filterColumn colId="3">
      <filters>
        <filter val="Nguyễn Văn Quốc"/>
      </filters>
    </filterColumn>
  </autoFilter>
  <mergeCells count="14">
    <mergeCell ref="AS5:AS7"/>
    <mergeCell ref="AQ5:AQ7"/>
    <mergeCell ref="AR5:AR7"/>
    <mergeCell ref="G5:G7"/>
    <mergeCell ref="AM5:AM7"/>
    <mergeCell ref="AN5:AN7"/>
    <mergeCell ref="AO5:AO7"/>
    <mergeCell ref="AP5:AP7"/>
    <mergeCell ref="F5:F7"/>
    <mergeCell ref="A5:A7"/>
    <mergeCell ref="B5:B7"/>
    <mergeCell ref="C5:C7"/>
    <mergeCell ref="D5:D7"/>
    <mergeCell ref="E5:E7"/>
  </mergeCells>
  <pageMargins left="0.7" right="0.7" top="0.75" bottom="0.75" header="0.3" footer="0.3"/>
  <pageSetup paperSize="8" scale="44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23BD7-F036-4189-B143-241B81B6C0E9}">
  <sheetPr>
    <pageSetUpPr fitToPage="1"/>
  </sheetPr>
  <dimension ref="A2:BE108"/>
  <sheetViews>
    <sheetView zoomScale="80" zoomScaleNormal="80" workbookViewId="0">
      <pane xSplit="7" ySplit="7" topLeftCell="H8" activePane="bottomRight" state="frozen"/>
      <selection pane="topRight" activeCell="H1" sqref="H1"/>
      <selection pane="bottomLeft" activeCell="A8" sqref="A8"/>
      <selection pane="bottomRight" activeCell="J35" sqref="J35"/>
    </sheetView>
  </sheetViews>
  <sheetFormatPr defaultRowHeight="15"/>
  <cols>
    <col min="1" max="1" width="6.28515625" customWidth="1"/>
    <col min="2" max="2" width="10.5703125" customWidth="1"/>
    <col min="3" max="3" width="0" hidden="1" customWidth="1"/>
    <col min="4" max="4" width="20.5703125" customWidth="1"/>
    <col min="5" max="5" width="14.42578125" customWidth="1"/>
    <col min="6" max="6" width="23.5703125" customWidth="1"/>
    <col min="7" max="7" width="10.42578125" customWidth="1"/>
    <col min="8" max="39" width="7.7109375" customWidth="1"/>
    <col min="40" max="40" width="6.85546875" customWidth="1"/>
    <col min="41" max="41" width="6.42578125" customWidth="1"/>
    <col min="42" max="44" width="7.140625" customWidth="1"/>
    <col min="45" max="45" width="6.42578125" customWidth="1"/>
    <col min="46" max="46" width="6.5703125" customWidth="1"/>
    <col min="47" max="47" width="7.85546875" customWidth="1"/>
    <col min="48" max="48" width="10.28515625" customWidth="1"/>
    <col min="49" max="49" width="10.85546875" customWidth="1"/>
    <col min="50" max="50" width="10.28515625" customWidth="1"/>
    <col min="51" max="51" width="11.140625" customWidth="1"/>
    <col min="52" max="52" width="10.28515625" customWidth="1"/>
    <col min="53" max="53" width="10.42578125" customWidth="1"/>
    <col min="54" max="55" width="6.85546875" customWidth="1"/>
    <col min="56" max="56" width="57.7109375" customWidth="1"/>
    <col min="58" max="58" width="12.7109375" customWidth="1"/>
  </cols>
  <sheetData>
    <row r="2" spans="1:57" ht="20.100000000000001" customHeight="1">
      <c r="F2" s="22" t="s">
        <v>438</v>
      </c>
      <c r="G2" s="22"/>
    </row>
    <row r="3" spans="1:57" ht="14.45" hidden="1" customHeight="1">
      <c r="F3" s="22"/>
      <c r="G3" s="22"/>
    </row>
    <row r="4" spans="1:57" ht="18.75" hidden="1">
      <c r="C4" s="4"/>
      <c r="D4" s="13"/>
      <c r="E4" s="13"/>
      <c r="F4" s="13"/>
      <c r="G4" s="13"/>
    </row>
    <row r="5" spans="1:57" ht="14.45" customHeight="1">
      <c r="A5" s="114" t="s">
        <v>104</v>
      </c>
      <c r="B5" s="106" t="s">
        <v>103</v>
      </c>
      <c r="C5" s="106" t="s">
        <v>0</v>
      </c>
      <c r="D5" s="115" t="s">
        <v>102</v>
      </c>
      <c r="E5" s="116" t="s">
        <v>101</v>
      </c>
      <c r="F5" s="106" t="s">
        <v>100</v>
      </c>
      <c r="G5" s="114" t="s">
        <v>99</v>
      </c>
      <c r="H5" s="75">
        <v>46224</v>
      </c>
      <c r="I5" s="75">
        <v>46225</v>
      </c>
      <c r="J5" s="75">
        <v>46226</v>
      </c>
      <c r="K5" s="75">
        <v>46227</v>
      </c>
      <c r="L5" s="75">
        <v>46228</v>
      </c>
      <c r="M5" s="75">
        <v>46229</v>
      </c>
      <c r="N5" s="75">
        <v>46230</v>
      </c>
      <c r="O5" s="75">
        <v>46231</v>
      </c>
      <c r="P5" s="75">
        <v>46232</v>
      </c>
      <c r="Q5" s="75">
        <v>46233</v>
      </c>
      <c r="R5" s="75">
        <v>46234</v>
      </c>
      <c r="S5" s="75">
        <v>46235</v>
      </c>
      <c r="T5" s="75">
        <v>46236</v>
      </c>
      <c r="U5" s="75">
        <v>46237</v>
      </c>
      <c r="V5" s="75">
        <v>46238</v>
      </c>
      <c r="W5" s="75">
        <v>46239</v>
      </c>
      <c r="X5" s="75">
        <v>46240</v>
      </c>
      <c r="Y5" s="75">
        <v>46241</v>
      </c>
      <c r="Z5" s="75">
        <v>46242</v>
      </c>
      <c r="AA5" s="75">
        <v>46243</v>
      </c>
      <c r="AB5" s="75">
        <v>46244</v>
      </c>
      <c r="AC5" s="75">
        <v>46245</v>
      </c>
      <c r="AD5" s="75">
        <v>46246</v>
      </c>
      <c r="AE5" s="75">
        <v>46247</v>
      </c>
      <c r="AF5" s="75">
        <v>46248</v>
      </c>
      <c r="AG5" s="75">
        <v>46249</v>
      </c>
      <c r="AH5" s="75">
        <v>46250</v>
      </c>
      <c r="AI5" s="75">
        <v>46251</v>
      </c>
      <c r="AJ5" s="75">
        <v>46252</v>
      </c>
      <c r="AK5" s="75">
        <v>46253</v>
      </c>
      <c r="AL5" s="75">
        <v>46254</v>
      </c>
      <c r="AM5" s="113" t="s">
        <v>116</v>
      </c>
      <c r="AN5" s="113" t="s">
        <v>117</v>
      </c>
      <c r="AO5" s="113" t="s">
        <v>164</v>
      </c>
      <c r="AP5" s="113" t="s">
        <v>109</v>
      </c>
      <c r="AQ5" s="113" t="s">
        <v>321</v>
      </c>
      <c r="AR5" s="113" t="s">
        <v>179</v>
      </c>
      <c r="AS5" s="113" t="s">
        <v>186</v>
      </c>
      <c r="AT5" s="113" t="s">
        <v>218</v>
      </c>
      <c r="AU5" s="113" t="s">
        <v>180</v>
      </c>
      <c r="AV5" s="107" t="s">
        <v>119</v>
      </c>
      <c r="AW5" s="107" t="s">
        <v>284</v>
      </c>
      <c r="AX5" s="107" t="s">
        <v>124</v>
      </c>
      <c r="AY5" s="107" t="s">
        <v>232</v>
      </c>
      <c r="AZ5" s="107" t="s">
        <v>226</v>
      </c>
      <c r="BA5" s="107" t="s">
        <v>227</v>
      </c>
      <c r="BB5" s="106" t="s">
        <v>120</v>
      </c>
      <c r="BC5" s="106" t="s">
        <v>121</v>
      </c>
      <c r="BD5" s="106" t="s">
        <v>122</v>
      </c>
    </row>
    <row r="6" spans="1:57" ht="14.45" customHeight="1">
      <c r="A6" s="114"/>
      <c r="B6" s="106"/>
      <c r="C6" s="106"/>
      <c r="D6" s="115"/>
      <c r="E6" s="117"/>
      <c r="F6" s="106"/>
      <c r="G6" s="114"/>
      <c r="H6" s="6" t="s">
        <v>7</v>
      </c>
      <c r="I6" s="6" t="s">
        <v>1</v>
      </c>
      <c r="J6" s="6" t="s">
        <v>2</v>
      </c>
      <c r="K6" s="6" t="s">
        <v>3</v>
      </c>
      <c r="L6" s="6" t="s">
        <v>4</v>
      </c>
      <c r="M6" s="6" t="s">
        <v>5</v>
      </c>
      <c r="N6" s="6" t="s">
        <v>6</v>
      </c>
      <c r="O6" s="6" t="s">
        <v>7</v>
      </c>
      <c r="P6" s="6" t="s">
        <v>1</v>
      </c>
      <c r="Q6" s="6" t="s">
        <v>2</v>
      </c>
      <c r="R6" s="6" t="s">
        <v>3</v>
      </c>
      <c r="S6" s="6" t="s">
        <v>4</v>
      </c>
      <c r="T6" s="6" t="s">
        <v>5</v>
      </c>
      <c r="U6" s="6" t="s">
        <v>6</v>
      </c>
      <c r="V6" s="6" t="s">
        <v>7</v>
      </c>
      <c r="W6" s="6" t="s">
        <v>1</v>
      </c>
      <c r="X6" s="6" t="s">
        <v>2</v>
      </c>
      <c r="Y6" s="6" t="s">
        <v>3</v>
      </c>
      <c r="Z6" s="6" t="s">
        <v>4</v>
      </c>
      <c r="AA6" s="6" t="s">
        <v>5</v>
      </c>
      <c r="AB6" s="6" t="s">
        <v>6</v>
      </c>
      <c r="AC6" s="6" t="s">
        <v>7</v>
      </c>
      <c r="AD6" s="6" t="s">
        <v>1</v>
      </c>
      <c r="AE6" s="6" t="s">
        <v>2</v>
      </c>
      <c r="AF6" s="6" t="s">
        <v>3</v>
      </c>
      <c r="AG6" s="6" t="s">
        <v>4</v>
      </c>
      <c r="AH6" s="6" t="s">
        <v>5</v>
      </c>
      <c r="AI6" s="6" t="s">
        <v>6</v>
      </c>
      <c r="AJ6" s="6" t="s">
        <v>7</v>
      </c>
      <c r="AK6" s="6" t="s">
        <v>1</v>
      </c>
      <c r="AL6" s="6" t="s">
        <v>2</v>
      </c>
      <c r="AM6" s="113"/>
      <c r="AN6" s="113"/>
      <c r="AO6" s="113"/>
      <c r="AP6" s="113"/>
      <c r="AQ6" s="113"/>
      <c r="AR6" s="113"/>
      <c r="AS6" s="113"/>
      <c r="AT6" s="113"/>
      <c r="AU6" s="113"/>
      <c r="AV6" s="108"/>
      <c r="AW6" s="108"/>
      <c r="AX6" s="108"/>
      <c r="AY6" s="108"/>
      <c r="AZ6" s="108"/>
      <c r="BA6" s="108"/>
      <c r="BB6" s="106"/>
      <c r="BC6" s="106"/>
      <c r="BD6" s="106"/>
    </row>
    <row r="7" spans="1:57" ht="50.45" customHeight="1">
      <c r="A7" s="114"/>
      <c r="B7" s="106"/>
      <c r="C7" s="106"/>
      <c r="D7" s="115"/>
      <c r="E7" s="118"/>
      <c r="F7" s="106"/>
      <c r="G7" s="114"/>
      <c r="H7" s="5" t="s">
        <v>14</v>
      </c>
      <c r="I7" s="5" t="s">
        <v>8</v>
      </c>
      <c r="J7" s="5" t="s">
        <v>9</v>
      </c>
      <c r="K7" s="5" t="s">
        <v>10</v>
      </c>
      <c r="L7" s="5" t="s">
        <v>11</v>
      </c>
      <c r="M7" s="5" t="s">
        <v>12</v>
      </c>
      <c r="N7" s="5" t="s">
        <v>13</v>
      </c>
      <c r="O7" s="5" t="s">
        <v>14</v>
      </c>
      <c r="P7" s="5" t="s">
        <v>8</v>
      </c>
      <c r="Q7" s="5" t="s">
        <v>9</v>
      </c>
      <c r="R7" s="5" t="s">
        <v>10</v>
      </c>
      <c r="S7" s="5" t="s">
        <v>11</v>
      </c>
      <c r="T7" s="5" t="s">
        <v>12</v>
      </c>
      <c r="U7" s="5" t="s">
        <v>13</v>
      </c>
      <c r="V7" s="5" t="s">
        <v>14</v>
      </c>
      <c r="W7" s="5" t="s">
        <v>8</v>
      </c>
      <c r="X7" s="5" t="s">
        <v>9</v>
      </c>
      <c r="Y7" s="5" t="s">
        <v>10</v>
      </c>
      <c r="Z7" s="5" t="s">
        <v>11</v>
      </c>
      <c r="AA7" s="5" t="s">
        <v>12</v>
      </c>
      <c r="AB7" s="5" t="s">
        <v>13</v>
      </c>
      <c r="AC7" s="5" t="s">
        <v>14</v>
      </c>
      <c r="AD7" s="5" t="s">
        <v>8</v>
      </c>
      <c r="AE7" s="5" t="s">
        <v>9</v>
      </c>
      <c r="AF7" s="5" t="s">
        <v>10</v>
      </c>
      <c r="AG7" s="5" t="s">
        <v>11</v>
      </c>
      <c r="AH7" s="5" t="s">
        <v>12</v>
      </c>
      <c r="AI7" s="5" t="s">
        <v>13</v>
      </c>
      <c r="AJ7" s="5" t="s">
        <v>14</v>
      </c>
      <c r="AK7" s="5" t="s">
        <v>8</v>
      </c>
      <c r="AL7" s="5" t="s">
        <v>9</v>
      </c>
      <c r="AM7" s="113"/>
      <c r="AN7" s="113"/>
      <c r="AO7" s="113"/>
      <c r="AP7" s="113"/>
      <c r="AQ7" s="113"/>
      <c r="AR7" s="113"/>
      <c r="AS7" s="113"/>
      <c r="AT7" s="113"/>
      <c r="AU7" s="113"/>
      <c r="AV7" s="109"/>
      <c r="AW7" s="109"/>
      <c r="AX7" s="109"/>
      <c r="AY7" s="109"/>
      <c r="AZ7" s="109"/>
      <c r="BA7" s="109"/>
      <c r="BB7" s="106"/>
      <c r="BC7" s="106"/>
      <c r="BD7" s="106"/>
    </row>
    <row r="8" spans="1:57" ht="29.1" customHeight="1">
      <c r="A8" s="42">
        <v>1</v>
      </c>
      <c r="B8" s="42" t="s">
        <v>55</v>
      </c>
      <c r="C8" s="43" t="s">
        <v>16</v>
      </c>
      <c r="D8" s="43" t="s">
        <v>17</v>
      </c>
      <c r="E8" s="43" t="s">
        <v>73</v>
      </c>
      <c r="F8" s="43" t="s">
        <v>15</v>
      </c>
      <c r="G8" s="44" t="s">
        <v>203</v>
      </c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6"/>
      <c r="AN8" s="47">
        <f>COUNTIF(H8:AL8,"W")+COUNTIF(H8:AL8,"W/2")*0.5+COUNTIF(H8:AL8,"BT")+COUNTIF(H8:AL8,"N")</f>
        <v>0</v>
      </c>
      <c r="AO8" s="47">
        <f>COUNTIF(H8:AL8,"AL")</f>
        <v>0</v>
      </c>
      <c r="AP8" s="47">
        <f>COUNTIF(H8:AL8,"UL")</f>
        <v>0</v>
      </c>
      <c r="AQ8" s="47">
        <f>COUNTIF(H8:AL8,"PH")</f>
        <v>0</v>
      </c>
      <c r="AR8" s="47">
        <f>COUNTIF(H8:AL8,"SL")</f>
        <v>0</v>
      </c>
      <c r="AS8" s="47">
        <f>COUNTIF(H8:AL8,"PL")</f>
        <v>0</v>
      </c>
      <c r="AT8" s="47"/>
      <c r="AU8" s="48"/>
      <c r="AV8" s="49"/>
      <c r="AW8" s="49"/>
      <c r="AX8" s="49"/>
      <c r="AY8" s="49"/>
      <c r="AZ8" s="49"/>
      <c r="BA8" s="50">
        <v>-40000</v>
      </c>
      <c r="BB8" s="43">
        <v>8</v>
      </c>
      <c r="BC8" s="43">
        <v>2026</v>
      </c>
      <c r="BD8" s="51"/>
      <c r="BE8" s="20"/>
    </row>
    <row r="9" spans="1:57" ht="29.1" customHeight="1">
      <c r="A9" s="42">
        <v>2</v>
      </c>
      <c r="B9" s="42" t="s">
        <v>57</v>
      </c>
      <c r="C9" s="43" t="s">
        <v>23</v>
      </c>
      <c r="D9" s="43" t="s">
        <v>24</v>
      </c>
      <c r="E9" s="43" t="s">
        <v>75</v>
      </c>
      <c r="F9" s="43" t="s">
        <v>22</v>
      </c>
      <c r="G9" s="44" t="s">
        <v>25</v>
      </c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6"/>
      <c r="AN9" s="47">
        <f t="shared" ref="AN9:AN63" si="0">COUNTIF(H9:AL9,"W")+COUNTIF(H9:AL9,"W/2")*0.5+COUNTIF(H9:AL9,"BT")+COUNTIF(H9:AL9,"N")</f>
        <v>0</v>
      </c>
      <c r="AO9" s="47">
        <f t="shared" ref="AO9:AO63" si="1">COUNTIF(H9:AL9,"AL")</f>
        <v>0</v>
      </c>
      <c r="AP9" s="47">
        <f t="shared" ref="AP9:AP63" si="2">COUNTIF(H9:AL9,"UL")</f>
        <v>0</v>
      </c>
      <c r="AQ9" s="47">
        <f t="shared" ref="AQ9:AQ63" si="3">COUNTIF(H9:AL9,"PH")</f>
        <v>0</v>
      </c>
      <c r="AR9" s="47">
        <f t="shared" ref="AR9:AR63" si="4">COUNTIF(H9:AL9,"SL")</f>
        <v>0</v>
      </c>
      <c r="AS9" s="47">
        <f t="shared" ref="AS9:AS63" si="5">COUNTIF(H9:AL9,"PL")</f>
        <v>0</v>
      </c>
      <c r="AT9" s="47"/>
      <c r="AU9" s="48"/>
      <c r="AV9" s="49"/>
      <c r="AW9" s="49"/>
      <c r="AX9" s="49"/>
      <c r="AY9" s="50"/>
      <c r="AZ9" s="49"/>
      <c r="BA9" s="50">
        <v>-40000</v>
      </c>
      <c r="BB9" s="43">
        <v>8</v>
      </c>
      <c r="BC9" s="43">
        <v>2026</v>
      </c>
      <c r="BD9" s="51"/>
      <c r="BE9" s="20"/>
    </row>
    <row r="10" spans="1:57" ht="29.1" customHeight="1">
      <c r="A10" s="42">
        <v>3</v>
      </c>
      <c r="B10" s="42" t="s">
        <v>58</v>
      </c>
      <c r="C10" s="43"/>
      <c r="D10" s="43" t="s">
        <v>27</v>
      </c>
      <c r="E10" s="43" t="s">
        <v>76</v>
      </c>
      <c r="F10" s="43" t="s">
        <v>28</v>
      </c>
      <c r="G10" s="44" t="s">
        <v>29</v>
      </c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6"/>
      <c r="AN10" s="47">
        <f t="shared" si="0"/>
        <v>0</v>
      </c>
      <c r="AO10" s="47">
        <f t="shared" si="1"/>
        <v>0</v>
      </c>
      <c r="AP10" s="47">
        <f t="shared" si="2"/>
        <v>0</v>
      </c>
      <c r="AQ10" s="47">
        <f t="shared" si="3"/>
        <v>0</v>
      </c>
      <c r="AR10" s="47">
        <f t="shared" si="4"/>
        <v>0</v>
      </c>
      <c r="AS10" s="47">
        <f t="shared" si="5"/>
        <v>0</v>
      </c>
      <c r="AT10" s="47"/>
      <c r="AU10" s="48"/>
      <c r="AV10" s="49"/>
      <c r="AW10" s="49"/>
      <c r="AX10" s="49"/>
      <c r="AY10" s="49"/>
      <c r="AZ10" s="49"/>
      <c r="BA10" s="50">
        <v>-40000</v>
      </c>
      <c r="BB10" s="43">
        <v>8</v>
      </c>
      <c r="BC10" s="43">
        <v>2026</v>
      </c>
      <c r="BD10" s="51"/>
      <c r="BE10" s="20"/>
    </row>
    <row r="11" spans="1:57" ht="29.1" customHeight="1">
      <c r="A11" s="42">
        <v>4</v>
      </c>
      <c r="B11" s="42" t="s">
        <v>59</v>
      </c>
      <c r="C11" s="43">
        <v>1014338</v>
      </c>
      <c r="D11" s="43" t="s">
        <v>33</v>
      </c>
      <c r="E11" s="43" t="s">
        <v>73</v>
      </c>
      <c r="F11" s="43" t="s">
        <v>34</v>
      </c>
      <c r="G11" s="44" t="s">
        <v>32</v>
      </c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6"/>
      <c r="AN11" s="47">
        <f t="shared" si="0"/>
        <v>0</v>
      </c>
      <c r="AO11" s="47">
        <f t="shared" si="1"/>
        <v>0</v>
      </c>
      <c r="AP11" s="47">
        <f t="shared" si="2"/>
        <v>0</v>
      </c>
      <c r="AQ11" s="47">
        <f t="shared" si="3"/>
        <v>0</v>
      </c>
      <c r="AR11" s="47">
        <f t="shared" si="4"/>
        <v>0</v>
      </c>
      <c r="AS11" s="47">
        <f t="shared" si="5"/>
        <v>0</v>
      </c>
      <c r="AT11" s="47"/>
      <c r="AU11" s="48"/>
      <c r="AV11" s="49"/>
      <c r="AW11" s="49"/>
      <c r="AX11" s="49"/>
      <c r="AY11" s="49"/>
      <c r="AZ11" s="49"/>
      <c r="BA11" s="50">
        <v>-40000</v>
      </c>
      <c r="BB11" s="43">
        <v>8</v>
      </c>
      <c r="BC11" s="43">
        <v>2026</v>
      </c>
      <c r="BD11" s="51"/>
      <c r="BE11" s="20"/>
    </row>
    <row r="12" spans="1:57" ht="29.1" customHeight="1">
      <c r="A12" s="42">
        <v>5</v>
      </c>
      <c r="B12" s="42" t="s">
        <v>60</v>
      </c>
      <c r="C12" s="43">
        <v>1014359</v>
      </c>
      <c r="D12" s="43" t="s">
        <v>36</v>
      </c>
      <c r="E12" s="43" t="s">
        <v>78</v>
      </c>
      <c r="F12" s="43" t="s">
        <v>37</v>
      </c>
      <c r="G12" s="44" t="s">
        <v>35</v>
      </c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6"/>
      <c r="AN12" s="47">
        <f t="shared" si="0"/>
        <v>0</v>
      </c>
      <c r="AO12" s="47">
        <f t="shared" si="1"/>
        <v>0</v>
      </c>
      <c r="AP12" s="47">
        <f t="shared" si="2"/>
        <v>0</v>
      </c>
      <c r="AQ12" s="47">
        <f t="shared" si="3"/>
        <v>0</v>
      </c>
      <c r="AR12" s="47">
        <f t="shared" si="4"/>
        <v>0</v>
      </c>
      <c r="AS12" s="47">
        <f t="shared" si="5"/>
        <v>0</v>
      </c>
      <c r="AT12" s="47"/>
      <c r="AU12" s="48"/>
      <c r="AV12" s="49"/>
      <c r="AW12" s="49"/>
      <c r="AX12" s="49"/>
      <c r="AY12" s="49"/>
      <c r="AZ12" s="49"/>
      <c r="BA12" s="50">
        <v>-40000</v>
      </c>
      <c r="BB12" s="43">
        <v>8</v>
      </c>
      <c r="BC12" s="43">
        <v>2026</v>
      </c>
      <c r="BD12" s="51"/>
      <c r="BE12" s="20"/>
    </row>
    <row r="13" spans="1:57" ht="29.1" customHeight="1">
      <c r="A13" s="42">
        <v>6</v>
      </c>
      <c r="B13" s="42" t="s">
        <v>61</v>
      </c>
      <c r="C13" s="43"/>
      <c r="D13" s="43" t="s">
        <v>38</v>
      </c>
      <c r="E13" s="43" t="s">
        <v>95</v>
      </c>
      <c r="F13" s="43" t="s">
        <v>43</v>
      </c>
      <c r="G13" s="44" t="s">
        <v>51</v>
      </c>
      <c r="H13" s="45"/>
      <c r="I13" s="45">
        <v>2</v>
      </c>
      <c r="J13" s="45">
        <v>2</v>
      </c>
      <c r="K13" s="45">
        <v>2</v>
      </c>
      <c r="L13" s="45"/>
      <c r="M13" s="45">
        <v>8</v>
      </c>
      <c r="N13" s="45"/>
      <c r="O13" s="45"/>
      <c r="P13" s="45"/>
      <c r="Q13" s="45"/>
      <c r="R13" s="45"/>
      <c r="S13" s="45">
        <v>2</v>
      </c>
      <c r="T13" s="45"/>
      <c r="U13" s="45">
        <v>2</v>
      </c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>
        <v>2</v>
      </c>
      <c r="AH13" s="45"/>
      <c r="AI13" s="45"/>
      <c r="AJ13" s="45">
        <v>2</v>
      </c>
      <c r="AK13" s="45"/>
      <c r="AL13" s="45">
        <v>1</v>
      </c>
      <c r="AM13" s="46"/>
      <c r="AN13" s="47">
        <f t="shared" si="0"/>
        <v>0</v>
      </c>
      <c r="AO13" s="47">
        <f t="shared" si="1"/>
        <v>0</v>
      </c>
      <c r="AP13" s="47">
        <f t="shared" si="2"/>
        <v>0</v>
      </c>
      <c r="AQ13" s="47">
        <f t="shared" si="3"/>
        <v>0</v>
      </c>
      <c r="AR13" s="47">
        <f t="shared" si="4"/>
        <v>0</v>
      </c>
      <c r="AS13" s="47">
        <f t="shared" si="5"/>
        <v>0</v>
      </c>
      <c r="AT13" s="47"/>
      <c r="AU13" s="48"/>
      <c r="AV13" s="50"/>
      <c r="AW13" s="50"/>
      <c r="AX13" s="50"/>
      <c r="AY13" s="50"/>
      <c r="AZ13" s="50"/>
      <c r="BA13" s="50">
        <v>-40000</v>
      </c>
      <c r="BB13" s="43">
        <v>8</v>
      </c>
      <c r="BC13" s="43">
        <v>2026</v>
      </c>
      <c r="BD13" s="51"/>
      <c r="BE13" s="20"/>
    </row>
    <row r="14" spans="1:57" ht="29.1" customHeight="1">
      <c r="A14" s="42">
        <v>7</v>
      </c>
      <c r="B14" s="42" t="s">
        <v>62</v>
      </c>
      <c r="C14" s="43"/>
      <c r="D14" s="43" t="s">
        <v>39</v>
      </c>
      <c r="E14" s="43" t="s">
        <v>78</v>
      </c>
      <c r="F14" s="43" t="s">
        <v>44</v>
      </c>
      <c r="G14" s="44" t="s">
        <v>51</v>
      </c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6"/>
      <c r="AN14" s="47">
        <f t="shared" si="0"/>
        <v>0</v>
      </c>
      <c r="AO14" s="47">
        <f t="shared" si="1"/>
        <v>0</v>
      </c>
      <c r="AP14" s="47">
        <f t="shared" si="2"/>
        <v>0</v>
      </c>
      <c r="AQ14" s="47">
        <f t="shared" si="3"/>
        <v>0</v>
      </c>
      <c r="AR14" s="47">
        <f t="shared" si="4"/>
        <v>0</v>
      </c>
      <c r="AS14" s="47">
        <f t="shared" si="5"/>
        <v>0</v>
      </c>
      <c r="AT14" s="47"/>
      <c r="AU14" s="48"/>
      <c r="AV14" s="50"/>
      <c r="AW14" s="50"/>
      <c r="AX14" s="50"/>
      <c r="AY14" s="50"/>
      <c r="AZ14" s="49"/>
      <c r="BA14" s="50">
        <v>-40000</v>
      </c>
      <c r="BB14" s="43">
        <v>8</v>
      </c>
      <c r="BC14" s="43">
        <v>2026</v>
      </c>
      <c r="BD14" s="51"/>
      <c r="BE14" s="20"/>
    </row>
    <row r="15" spans="1:57" ht="29.1" customHeight="1">
      <c r="A15" s="42">
        <v>8</v>
      </c>
      <c r="B15" s="42" t="s">
        <v>65</v>
      </c>
      <c r="C15" s="43"/>
      <c r="D15" s="43" t="s">
        <v>42</v>
      </c>
      <c r="E15" s="43" t="s">
        <v>74</v>
      </c>
      <c r="F15" s="43" t="s">
        <v>47</v>
      </c>
      <c r="G15" s="44" t="s">
        <v>53</v>
      </c>
      <c r="H15" s="45"/>
      <c r="I15" s="45"/>
      <c r="J15" s="45"/>
      <c r="K15" s="45"/>
      <c r="L15" s="45">
        <v>1</v>
      </c>
      <c r="M15" s="45"/>
      <c r="N15" s="45"/>
      <c r="O15" s="45"/>
      <c r="P15" s="45"/>
      <c r="Q15" s="45"/>
      <c r="R15" s="45"/>
      <c r="S15" s="45"/>
      <c r="T15" s="45"/>
      <c r="U15" s="45"/>
      <c r="V15" s="45">
        <v>1</v>
      </c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6"/>
      <c r="AN15" s="47">
        <f t="shared" si="0"/>
        <v>0</v>
      </c>
      <c r="AO15" s="47">
        <f t="shared" si="1"/>
        <v>0</v>
      </c>
      <c r="AP15" s="47">
        <f t="shared" si="2"/>
        <v>0</v>
      </c>
      <c r="AQ15" s="47">
        <f t="shared" si="3"/>
        <v>0</v>
      </c>
      <c r="AR15" s="47">
        <f t="shared" si="4"/>
        <v>0</v>
      </c>
      <c r="AS15" s="47">
        <f t="shared" si="5"/>
        <v>0</v>
      </c>
      <c r="AT15" s="47"/>
      <c r="AU15" s="48"/>
      <c r="AV15" s="50"/>
      <c r="AW15" s="50"/>
      <c r="AX15" s="51"/>
      <c r="AY15" s="50"/>
      <c r="AZ15" s="49"/>
      <c r="BA15" s="50">
        <v>-40000</v>
      </c>
      <c r="BB15" s="43">
        <v>8</v>
      </c>
      <c r="BC15" s="43">
        <v>2026</v>
      </c>
      <c r="BD15" s="51"/>
      <c r="BE15" s="20"/>
    </row>
    <row r="16" spans="1:57" ht="29.1" customHeight="1">
      <c r="A16" s="42">
        <v>9</v>
      </c>
      <c r="B16" s="42" t="s">
        <v>66</v>
      </c>
      <c r="C16" s="43"/>
      <c r="D16" s="43" t="s">
        <v>70</v>
      </c>
      <c r="E16" s="43" t="s">
        <v>95</v>
      </c>
      <c r="F16" s="43" t="s">
        <v>50</v>
      </c>
      <c r="G16" s="44" t="s">
        <v>54</v>
      </c>
      <c r="H16" s="45"/>
      <c r="I16" s="45"/>
      <c r="J16" s="45">
        <v>2</v>
      </c>
      <c r="K16" s="45">
        <v>2</v>
      </c>
      <c r="L16" s="45"/>
      <c r="M16" s="45">
        <v>8</v>
      </c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6"/>
      <c r="AN16" s="47">
        <f t="shared" si="0"/>
        <v>0</v>
      </c>
      <c r="AO16" s="47">
        <f t="shared" si="1"/>
        <v>0</v>
      </c>
      <c r="AP16" s="47">
        <f t="shared" si="2"/>
        <v>0</v>
      </c>
      <c r="AQ16" s="47">
        <f t="shared" si="3"/>
        <v>0</v>
      </c>
      <c r="AR16" s="47">
        <f t="shared" si="4"/>
        <v>0</v>
      </c>
      <c r="AS16" s="47">
        <f t="shared" si="5"/>
        <v>0</v>
      </c>
      <c r="AT16" s="47"/>
      <c r="AU16" s="48"/>
      <c r="AV16" s="50"/>
      <c r="AW16" s="50"/>
      <c r="AX16" s="50"/>
      <c r="AY16" s="50"/>
      <c r="AZ16" s="50"/>
      <c r="BA16" s="50">
        <v>-40000</v>
      </c>
      <c r="BB16" s="43">
        <v>8</v>
      </c>
      <c r="BC16" s="43">
        <v>2026</v>
      </c>
      <c r="BD16" s="51"/>
      <c r="BE16" s="20"/>
    </row>
    <row r="17" spans="1:57" ht="29.1" customHeight="1">
      <c r="A17" s="42">
        <v>10</v>
      </c>
      <c r="B17" s="42" t="s">
        <v>67</v>
      </c>
      <c r="C17" s="43"/>
      <c r="D17" s="43" t="s">
        <v>72</v>
      </c>
      <c r="E17" s="43" t="s">
        <v>74</v>
      </c>
      <c r="F17" s="43" t="s">
        <v>48</v>
      </c>
      <c r="G17" s="44" t="s">
        <v>54</v>
      </c>
      <c r="H17" s="45"/>
      <c r="I17" s="45">
        <v>2</v>
      </c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>
        <v>2</v>
      </c>
      <c r="Z17" s="45"/>
      <c r="AA17" s="45"/>
      <c r="AB17" s="45"/>
      <c r="AC17" s="45"/>
      <c r="AD17" s="45"/>
      <c r="AE17" s="45">
        <v>2</v>
      </c>
      <c r="AF17" s="45"/>
      <c r="AG17" s="45"/>
      <c r="AH17" s="45"/>
      <c r="AI17" s="45"/>
      <c r="AJ17" s="45"/>
      <c r="AK17" s="45"/>
      <c r="AL17" s="45"/>
      <c r="AM17" s="46"/>
      <c r="AN17" s="47">
        <f t="shared" si="0"/>
        <v>0</v>
      </c>
      <c r="AO17" s="47">
        <f t="shared" si="1"/>
        <v>0</v>
      </c>
      <c r="AP17" s="47">
        <f t="shared" si="2"/>
        <v>0</v>
      </c>
      <c r="AQ17" s="47">
        <f t="shared" si="3"/>
        <v>0</v>
      </c>
      <c r="AR17" s="47">
        <f t="shared" si="4"/>
        <v>0</v>
      </c>
      <c r="AS17" s="47">
        <f t="shared" si="5"/>
        <v>0</v>
      </c>
      <c r="AT17" s="47"/>
      <c r="AU17" s="48"/>
      <c r="AV17" s="50"/>
      <c r="AW17" s="50"/>
      <c r="AX17" s="50"/>
      <c r="AY17" s="50"/>
      <c r="AZ17" s="50"/>
      <c r="BA17" s="50">
        <v>-40000</v>
      </c>
      <c r="BB17" s="43">
        <v>8</v>
      </c>
      <c r="BC17" s="43">
        <v>2026</v>
      </c>
      <c r="BD17" s="51"/>
      <c r="BE17" s="20"/>
    </row>
    <row r="18" spans="1:57" ht="29.1" customHeight="1">
      <c r="A18" s="42">
        <v>11</v>
      </c>
      <c r="B18" s="42" t="s">
        <v>69</v>
      </c>
      <c r="C18" s="43"/>
      <c r="D18" s="43" t="s">
        <v>83</v>
      </c>
      <c r="E18" s="43" t="s">
        <v>78</v>
      </c>
      <c r="F18" s="43" t="s">
        <v>44</v>
      </c>
      <c r="G18" s="44" t="s">
        <v>84</v>
      </c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6"/>
      <c r="AN18" s="47">
        <f t="shared" si="0"/>
        <v>0</v>
      </c>
      <c r="AO18" s="47">
        <f t="shared" si="1"/>
        <v>0</v>
      </c>
      <c r="AP18" s="47">
        <f t="shared" si="2"/>
        <v>0</v>
      </c>
      <c r="AQ18" s="47">
        <f t="shared" si="3"/>
        <v>0</v>
      </c>
      <c r="AR18" s="47">
        <f t="shared" si="4"/>
        <v>0</v>
      </c>
      <c r="AS18" s="47">
        <f t="shared" si="5"/>
        <v>0</v>
      </c>
      <c r="AT18" s="47"/>
      <c r="AU18" s="48"/>
      <c r="AV18" s="50"/>
      <c r="AW18" s="50"/>
      <c r="AX18" s="50"/>
      <c r="AY18" s="50"/>
      <c r="AZ18" s="50"/>
      <c r="BA18" s="50">
        <v>-40000</v>
      </c>
      <c r="BB18" s="43">
        <v>8</v>
      </c>
      <c r="BC18" s="43">
        <v>2026</v>
      </c>
      <c r="BD18" s="51"/>
      <c r="BE18" s="20"/>
    </row>
    <row r="19" spans="1:57" ht="29.1" customHeight="1">
      <c r="A19" s="42">
        <v>12</v>
      </c>
      <c r="B19" s="42" t="s">
        <v>71</v>
      </c>
      <c r="C19" s="56"/>
      <c r="D19" s="56" t="s">
        <v>431</v>
      </c>
      <c r="E19" s="56" t="s">
        <v>95</v>
      </c>
      <c r="F19" s="56" t="s">
        <v>105</v>
      </c>
      <c r="G19" s="57" t="s">
        <v>92</v>
      </c>
      <c r="H19" s="45"/>
      <c r="I19" s="45">
        <v>2</v>
      </c>
      <c r="J19" s="45">
        <v>2</v>
      </c>
      <c r="K19" s="45">
        <v>1</v>
      </c>
      <c r="L19" s="45"/>
      <c r="M19" s="45">
        <v>8</v>
      </c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6"/>
      <c r="AN19" s="47">
        <f t="shared" si="0"/>
        <v>0</v>
      </c>
      <c r="AO19" s="47">
        <f t="shared" si="1"/>
        <v>0</v>
      </c>
      <c r="AP19" s="47">
        <f t="shared" si="2"/>
        <v>0</v>
      </c>
      <c r="AQ19" s="47">
        <f t="shared" si="3"/>
        <v>0</v>
      </c>
      <c r="AR19" s="47">
        <f t="shared" si="4"/>
        <v>0</v>
      </c>
      <c r="AS19" s="47">
        <f t="shared" si="5"/>
        <v>0</v>
      </c>
      <c r="AT19" s="47"/>
      <c r="AU19" s="48"/>
      <c r="AV19" s="52"/>
      <c r="AW19" s="52"/>
      <c r="AX19" s="52"/>
      <c r="AY19" s="52"/>
      <c r="AZ19" s="52"/>
      <c r="BA19" s="52">
        <v>-40000</v>
      </c>
      <c r="BB19" s="43">
        <v>8</v>
      </c>
      <c r="BC19" s="56">
        <v>2026</v>
      </c>
      <c r="BD19" s="51"/>
      <c r="BE19" s="20"/>
    </row>
    <row r="20" spans="1:57" ht="29.1" customHeight="1">
      <c r="A20" s="42">
        <v>13</v>
      </c>
      <c r="B20" s="42" t="s">
        <v>80</v>
      </c>
      <c r="C20" s="56"/>
      <c r="D20" s="56" t="s">
        <v>118</v>
      </c>
      <c r="E20" s="56" t="s">
        <v>77</v>
      </c>
      <c r="F20" s="56" t="s">
        <v>93</v>
      </c>
      <c r="G20" s="57" t="s">
        <v>94</v>
      </c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>
        <v>2</v>
      </c>
      <c r="V20" s="45">
        <v>2.5</v>
      </c>
      <c r="W20" s="45">
        <v>2</v>
      </c>
      <c r="X20" s="45">
        <v>3</v>
      </c>
      <c r="Y20" s="45">
        <v>2</v>
      </c>
      <c r="Z20" s="45"/>
      <c r="AA20" s="45"/>
      <c r="AB20" s="45">
        <v>2</v>
      </c>
      <c r="AC20" s="45">
        <v>0.5</v>
      </c>
      <c r="AD20" s="45"/>
      <c r="AE20" s="45">
        <v>2</v>
      </c>
      <c r="AF20" s="45"/>
      <c r="AG20" s="45"/>
      <c r="AH20" s="45"/>
      <c r="AI20" s="45"/>
      <c r="AJ20" s="45"/>
      <c r="AK20" s="45">
        <v>2</v>
      </c>
      <c r="AL20" s="45"/>
      <c r="AM20" s="46"/>
      <c r="AN20" s="47">
        <f t="shared" si="0"/>
        <v>0</v>
      </c>
      <c r="AO20" s="47">
        <f t="shared" si="1"/>
        <v>0</v>
      </c>
      <c r="AP20" s="47">
        <f t="shared" si="2"/>
        <v>0</v>
      </c>
      <c r="AQ20" s="47">
        <f t="shared" si="3"/>
        <v>0</v>
      </c>
      <c r="AR20" s="47">
        <f t="shared" si="4"/>
        <v>0</v>
      </c>
      <c r="AS20" s="47">
        <f t="shared" si="5"/>
        <v>0</v>
      </c>
      <c r="AT20" s="47"/>
      <c r="AU20" s="48"/>
      <c r="AV20" s="52"/>
      <c r="AW20" s="52"/>
      <c r="AX20" s="52"/>
      <c r="AY20" s="52"/>
      <c r="AZ20" s="50"/>
      <c r="BA20" s="50">
        <v>-40000</v>
      </c>
      <c r="BB20" s="43">
        <v>8</v>
      </c>
      <c r="BC20" s="43">
        <v>2026</v>
      </c>
      <c r="BD20" s="51"/>
      <c r="BE20" s="20"/>
    </row>
    <row r="21" spans="1:57" ht="29.1" customHeight="1">
      <c r="A21" s="42">
        <v>14</v>
      </c>
      <c r="B21" s="42" t="s">
        <v>81</v>
      </c>
      <c r="C21" s="43"/>
      <c r="D21" s="43" t="s">
        <v>86</v>
      </c>
      <c r="E21" s="43" t="s">
        <v>95</v>
      </c>
      <c r="F21" s="43" t="s">
        <v>96</v>
      </c>
      <c r="G21" s="44" t="s">
        <v>123</v>
      </c>
      <c r="H21" s="45"/>
      <c r="I21" s="45"/>
      <c r="J21" s="45">
        <v>2</v>
      </c>
      <c r="K21" s="45"/>
      <c r="L21" s="45"/>
      <c r="M21" s="45">
        <v>8</v>
      </c>
      <c r="N21" s="45"/>
      <c r="O21" s="45"/>
      <c r="P21" s="45"/>
      <c r="Q21" s="45">
        <v>2</v>
      </c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6"/>
      <c r="AN21" s="47">
        <f t="shared" si="0"/>
        <v>0</v>
      </c>
      <c r="AO21" s="47">
        <f t="shared" si="1"/>
        <v>0</v>
      </c>
      <c r="AP21" s="47">
        <f t="shared" si="2"/>
        <v>0</v>
      </c>
      <c r="AQ21" s="47">
        <f t="shared" si="3"/>
        <v>0</v>
      </c>
      <c r="AR21" s="47">
        <f t="shared" si="4"/>
        <v>0</v>
      </c>
      <c r="AS21" s="47">
        <f t="shared" si="5"/>
        <v>0</v>
      </c>
      <c r="AT21" s="47"/>
      <c r="AU21" s="48"/>
      <c r="AV21" s="50"/>
      <c r="AW21" s="50"/>
      <c r="AX21" s="50"/>
      <c r="AY21" s="50"/>
      <c r="AZ21" s="50"/>
      <c r="BA21" s="50">
        <v>-40000</v>
      </c>
      <c r="BB21" s="43">
        <v>8</v>
      </c>
      <c r="BC21" s="43">
        <v>2026</v>
      </c>
      <c r="BD21" s="58"/>
      <c r="BE21" s="20"/>
    </row>
    <row r="22" spans="1:57" ht="29.1" customHeight="1">
      <c r="A22" s="42">
        <v>15</v>
      </c>
      <c r="B22" s="42" t="s">
        <v>85</v>
      </c>
      <c r="C22" s="56"/>
      <c r="D22" s="56" t="s">
        <v>87</v>
      </c>
      <c r="E22" s="56" t="s">
        <v>95</v>
      </c>
      <c r="F22" s="56" t="s">
        <v>97</v>
      </c>
      <c r="G22" s="57" t="s">
        <v>123</v>
      </c>
      <c r="H22" s="45"/>
      <c r="I22" s="45"/>
      <c r="J22" s="45">
        <v>2</v>
      </c>
      <c r="K22" s="45">
        <v>2</v>
      </c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6"/>
      <c r="AN22" s="47">
        <f t="shared" si="0"/>
        <v>0</v>
      </c>
      <c r="AO22" s="47">
        <f t="shared" si="1"/>
        <v>0</v>
      </c>
      <c r="AP22" s="47">
        <f t="shared" si="2"/>
        <v>0</v>
      </c>
      <c r="AQ22" s="47">
        <f t="shared" si="3"/>
        <v>0</v>
      </c>
      <c r="AR22" s="47">
        <f t="shared" si="4"/>
        <v>0</v>
      </c>
      <c r="AS22" s="47">
        <f t="shared" si="5"/>
        <v>0</v>
      </c>
      <c r="AT22" s="47"/>
      <c r="AU22" s="48"/>
      <c r="AV22" s="52"/>
      <c r="AW22" s="52"/>
      <c r="AX22" s="52"/>
      <c r="AY22" s="52"/>
      <c r="AZ22" s="52"/>
      <c r="BA22" s="52">
        <v>-40000</v>
      </c>
      <c r="BB22" s="43">
        <v>8</v>
      </c>
      <c r="BC22" s="56">
        <v>2026</v>
      </c>
      <c r="BD22" s="51"/>
      <c r="BE22" s="20"/>
    </row>
    <row r="23" spans="1:57" ht="29.1" customHeight="1">
      <c r="A23" s="42">
        <v>16</v>
      </c>
      <c r="B23" s="42" t="s">
        <v>89</v>
      </c>
      <c r="C23" s="43"/>
      <c r="D23" s="43" t="s">
        <v>88</v>
      </c>
      <c r="E23" s="43" t="s">
        <v>95</v>
      </c>
      <c r="F23" s="43" t="s">
        <v>105</v>
      </c>
      <c r="G23" s="44" t="s">
        <v>98</v>
      </c>
      <c r="H23" s="45"/>
      <c r="I23" s="45"/>
      <c r="J23" s="45">
        <v>2</v>
      </c>
      <c r="K23" s="45">
        <v>2</v>
      </c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6"/>
      <c r="AN23" s="47">
        <f t="shared" si="0"/>
        <v>0</v>
      </c>
      <c r="AO23" s="47">
        <f t="shared" si="1"/>
        <v>0</v>
      </c>
      <c r="AP23" s="47">
        <f t="shared" si="2"/>
        <v>0</v>
      </c>
      <c r="AQ23" s="47">
        <f t="shared" si="3"/>
        <v>0</v>
      </c>
      <c r="AR23" s="47">
        <f t="shared" si="4"/>
        <v>0</v>
      </c>
      <c r="AS23" s="47">
        <f t="shared" si="5"/>
        <v>0</v>
      </c>
      <c r="AT23" s="47"/>
      <c r="AU23" s="48"/>
      <c r="AV23" s="50"/>
      <c r="AW23" s="50"/>
      <c r="AX23" s="50"/>
      <c r="AY23" s="50"/>
      <c r="AZ23" s="50"/>
      <c r="BA23" s="50">
        <v>-40000</v>
      </c>
      <c r="BB23" s="43">
        <v>8</v>
      </c>
      <c r="BC23" s="43">
        <v>2026</v>
      </c>
      <c r="BD23" s="51"/>
      <c r="BE23" s="20"/>
    </row>
    <row r="24" spans="1:57" ht="29.1" customHeight="1">
      <c r="A24" s="42">
        <v>17</v>
      </c>
      <c r="B24" s="42" t="s">
        <v>90</v>
      </c>
      <c r="C24" s="43"/>
      <c r="D24" s="43" t="s">
        <v>106</v>
      </c>
      <c r="E24" s="43" t="s">
        <v>95</v>
      </c>
      <c r="F24" s="43" t="s">
        <v>97</v>
      </c>
      <c r="G24" s="59">
        <v>45878</v>
      </c>
      <c r="H24" s="45"/>
      <c r="I24" s="45">
        <v>2</v>
      </c>
      <c r="J24" s="45">
        <v>2</v>
      </c>
      <c r="K24" s="45">
        <v>2</v>
      </c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6"/>
      <c r="AN24" s="47">
        <f t="shared" si="0"/>
        <v>0</v>
      </c>
      <c r="AO24" s="47">
        <f t="shared" si="1"/>
        <v>0</v>
      </c>
      <c r="AP24" s="47">
        <f t="shared" si="2"/>
        <v>0</v>
      </c>
      <c r="AQ24" s="47">
        <f t="shared" si="3"/>
        <v>0</v>
      </c>
      <c r="AR24" s="47">
        <f t="shared" si="4"/>
        <v>0</v>
      </c>
      <c r="AS24" s="47">
        <f t="shared" si="5"/>
        <v>0</v>
      </c>
      <c r="AT24" s="47"/>
      <c r="AU24" s="48"/>
      <c r="AV24" s="50"/>
      <c r="AW24" s="50"/>
      <c r="AX24" s="50"/>
      <c r="AY24" s="50"/>
      <c r="AZ24" s="50"/>
      <c r="BA24" s="50">
        <v>-40000</v>
      </c>
      <c r="BB24" s="43">
        <v>8</v>
      </c>
      <c r="BC24" s="43">
        <v>2026</v>
      </c>
      <c r="BD24" s="51"/>
      <c r="BE24" s="20"/>
    </row>
    <row r="25" spans="1:57" ht="29.1" customHeight="1">
      <c r="A25" s="42">
        <v>18</v>
      </c>
      <c r="B25" s="42" t="s">
        <v>91</v>
      </c>
      <c r="C25" s="56"/>
      <c r="D25" s="56" t="s">
        <v>110</v>
      </c>
      <c r="E25" s="56" t="s">
        <v>73</v>
      </c>
      <c r="F25" s="56" t="s">
        <v>112</v>
      </c>
      <c r="G25" s="57" t="s">
        <v>113</v>
      </c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6"/>
      <c r="AN25" s="47">
        <f t="shared" si="0"/>
        <v>0</v>
      </c>
      <c r="AO25" s="47">
        <f t="shared" si="1"/>
        <v>0</v>
      </c>
      <c r="AP25" s="47">
        <f t="shared" si="2"/>
        <v>0</v>
      </c>
      <c r="AQ25" s="47">
        <f t="shared" si="3"/>
        <v>0</v>
      </c>
      <c r="AR25" s="47">
        <f t="shared" si="4"/>
        <v>0</v>
      </c>
      <c r="AS25" s="47">
        <f t="shared" si="5"/>
        <v>0</v>
      </c>
      <c r="AT25" s="47"/>
      <c r="AU25" s="48"/>
      <c r="AV25" s="52"/>
      <c r="AW25" s="52"/>
      <c r="AX25" s="52"/>
      <c r="AY25" s="52"/>
      <c r="AZ25" s="50"/>
      <c r="BA25" s="50">
        <v>-40000</v>
      </c>
      <c r="BB25" s="43">
        <v>8</v>
      </c>
      <c r="BC25" s="43">
        <v>2026</v>
      </c>
      <c r="BD25" s="51"/>
      <c r="BE25" s="20"/>
    </row>
    <row r="26" spans="1:57" ht="29.1" customHeight="1">
      <c r="A26" s="42">
        <v>19</v>
      </c>
      <c r="B26" s="42" t="s">
        <v>108</v>
      </c>
      <c r="C26" s="54"/>
      <c r="D26" s="56" t="s">
        <v>159</v>
      </c>
      <c r="E26" s="56" t="s">
        <v>74</v>
      </c>
      <c r="F26" s="56" t="s">
        <v>48</v>
      </c>
      <c r="G26" s="57" t="s">
        <v>115</v>
      </c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>
        <v>2</v>
      </c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6"/>
      <c r="AN26" s="47"/>
      <c r="AO26" s="47"/>
      <c r="AP26" s="47"/>
      <c r="AQ26" s="47"/>
      <c r="AR26" s="47"/>
      <c r="AS26" s="47"/>
      <c r="AT26" s="47"/>
      <c r="AU26" s="48"/>
      <c r="AV26" s="52"/>
      <c r="AW26" s="52"/>
      <c r="AX26" s="52"/>
      <c r="AY26" s="52"/>
      <c r="AZ26" s="50"/>
      <c r="BA26" s="50"/>
      <c r="BB26" s="43">
        <v>8</v>
      </c>
      <c r="BC26" s="43">
        <v>2026</v>
      </c>
      <c r="BD26" s="51"/>
      <c r="BE26" s="20"/>
    </row>
    <row r="27" spans="1:57" ht="29.1" customHeight="1">
      <c r="A27" s="42">
        <v>20</v>
      </c>
      <c r="B27" s="42" t="s">
        <v>147</v>
      </c>
      <c r="C27" s="43"/>
      <c r="D27" s="43" t="s">
        <v>125</v>
      </c>
      <c r="E27" s="43" t="s">
        <v>146</v>
      </c>
      <c r="F27" s="43" t="s">
        <v>30</v>
      </c>
      <c r="G27" s="44" t="s">
        <v>139</v>
      </c>
      <c r="H27" s="45"/>
      <c r="I27" s="45"/>
      <c r="J27" s="45">
        <v>2</v>
      </c>
      <c r="K27" s="45"/>
      <c r="L27" s="45"/>
      <c r="M27" s="45">
        <v>9</v>
      </c>
      <c r="N27" s="45"/>
      <c r="O27" s="45"/>
      <c r="P27" s="45"/>
      <c r="Q27" s="45">
        <v>2</v>
      </c>
      <c r="R27" s="45"/>
      <c r="S27" s="45">
        <v>2</v>
      </c>
      <c r="T27" s="45">
        <v>8</v>
      </c>
      <c r="U27" s="45"/>
      <c r="V27" s="45"/>
      <c r="W27" s="45"/>
      <c r="X27" s="45">
        <v>3</v>
      </c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6"/>
      <c r="AN27" s="47">
        <f t="shared" si="0"/>
        <v>0</v>
      </c>
      <c r="AO27" s="47">
        <f t="shared" si="1"/>
        <v>0</v>
      </c>
      <c r="AP27" s="47">
        <f t="shared" si="2"/>
        <v>0</v>
      </c>
      <c r="AQ27" s="47">
        <f t="shared" si="3"/>
        <v>0</v>
      </c>
      <c r="AR27" s="47">
        <f t="shared" si="4"/>
        <v>0</v>
      </c>
      <c r="AS27" s="47">
        <f t="shared" si="5"/>
        <v>0</v>
      </c>
      <c r="AT27" s="47"/>
      <c r="AU27" s="48"/>
      <c r="AV27" s="50"/>
      <c r="AW27" s="50"/>
      <c r="AX27" s="50"/>
      <c r="AY27" s="50"/>
      <c r="AZ27" s="50"/>
      <c r="BA27" s="50">
        <v>-40000</v>
      </c>
      <c r="BB27" s="43">
        <v>8</v>
      </c>
      <c r="BC27" s="43">
        <v>2026</v>
      </c>
      <c r="BD27" s="51"/>
      <c r="BE27" s="20"/>
    </row>
    <row r="28" spans="1:57" ht="29.1" customHeight="1">
      <c r="A28" s="42">
        <v>21</v>
      </c>
      <c r="B28" s="42" t="s">
        <v>148</v>
      </c>
      <c r="C28" s="43"/>
      <c r="D28" s="43" t="s">
        <v>126</v>
      </c>
      <c r="E28" s="43" t="s">
        <v>146</v>
      </c>
      <c r="F28" s="43" t="s">
        <v>31</v>
      </c>
      <c r="G28" s="44" t="s">
        <v>139</v>
      </c>
      <c r="H28" s="45"/>
      <c r="I28" s="45"/>
      <c r="J28" s="45"/>
      <c r="K28" s="45"/>
      <c r="L28" s="45"/>
      <c r="M28" s="45">
        <v>9</v>
      </c>
      <c r="N28" s="45"/>
      <c r="O28" s="45"/>
      <c r="P28" s="45"/>
      <c r="Q28" s="45"/>
      <c r="R28" s="45">
        <v>2</v>
      </c>
      <c r="S28" s="45"/>
      <c r="T28" s="45"/>
      <c r="U28" s="45">
        <v>2</v>
      </c>
      <c r="V28" s="45">
        <v>2</v>
      </c>
      <c r="W28" s="45">
        <v>2</v>
      </c>
      <c r="X28" s="45"/>
      <c r="Y28" s="45">
        <v>2</v>
      </c>
      <c r="Z28" s="45"/>
      <c r="AA28" s="45"/>
      <c r="AB28" s="45"/>
      <c r="AC28" s="45"/>
      <c r="AD28" s="45"/>
      <c r="AE28" s="45">
        <v>2</v>
      </c>
      <c r="AF28" s="45"/>
      <c r="AG28" s="45"/>
      <c r="AH28" s="45"/>
      <c r="AI28" s="45"/>
      <c r="AJ28" s="45"/>
      <c r="AK28" s="45"/>
      <c r="AL28" s="45"/>
      <c r="AM28" s="46"/>
      <c r="AN28" s="47">
        <f t="shared" si="0"/>
        <v>0</v>
      </c>
      <c r="AO28" s="47">
        <f t="shared" si="1"/>
        <v>0</v>
      </c>
      <c r="AP28" s="47">
        <f t="shared" si="2"/>
        <v>0</v>
      </c>
      <c r="AQ28" s="47">
        <f t="shared" si="3"/>
        <v>0</v>
      </c>
      <c r="AR28" s="47">
        <f t="shared" si="4"/>
        <v>0</v>
      </c>
      <c r="AS28" s="47">
        <f t="shared" si="5"/>
        <v>0</v>
      </c>
      <c r="AT28" s="47"/>
      <c r="AU28" s="48"/>
      <c r="AV28" s="50"/>
      <c r="AW28" s="50"/>
      <c r="AX28" s="50"/>
      <c r="AY28" s="50"/>
      <c r="AZ28" s="50"/>
      <c r="BA28" s="50">
        <v>-40000</v>
      </c>
      <c r="BB28" s="43">
        <v>8</v>
      </c>
      <c r="BC28" s="43">
        <v>2026</v>
      </c>
      <c r="BD28" s="51"/>
      <c r="BE28" s="20"/>
    </row>
    <row r="29" spans="1:57" ht="29.1" customHeight="1">
      <c r="A29" s="42">
        <v>22</v>
      </c>
      <c r="B29" s="42" t="s">
        <v>150</v>
      </c>
      <c r="C29" s="43"/>
      <c r="D29" s="43" t="s">
        <v>128</v>
      </c>
      <c r="E29" s="43" t="s">
        <v>74</v>
      </c>
      <c r="F29" s="43" t="s">
        <v>48</v>
      </c>
      <c r="G29" s="44" t="s">
        <v>141</v>
      </c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>
        <v>2</v>
      </c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6"/>
      <c r="AN29" s="47">
        <f t="shared" si="0"/>
        <v>0</v>
      </c>
      <c r="AO29" s="47">
        <f t="shared" si="1"/>
        <v>0</v>
      </c>
      <c r="AP29" s="47">
        <f t="shared" si="2"/>
        <v>0</v>
      </c>
      <c r="AQ29" s="47">
        <f t="shared" si="3"/>
        <v>0</v>
      </c>
      <c r="AR29" s="47">
        <f t="shared" si="4"/>
        <v>0</v>
      </c>
      <c r="AS29" s="47">
        <f t="shared" si="5"/>
        <v>0</v>
      </c>
      <c r="AT29" s="47"/>
      <c r="AU29" s="48"/>
      <c r="AV29" s="50"/>
      <c r="AW29" s="50"/>
      <c r="AX29" s="50"/>
      <c r="AY29" s="50"/>
      <c r="AZ29" s="50"/>
      <c r="BA29" s="50">
        <v>-40000</v>
      </c>
      <c r="BB29" s="43">
        <v>8</v>
      </c>
      <c r="BC29" s="43">
        <v>2026</v>
      </c>
      <c r="BD29" s="51"/>
      <c r="BE29" s="20"/>
    </row>
    <row r="30" spans="1:57" ht="29.1" customHeight="1">
      <c r="A30" s="42">
        <v>23</v>
      </c>
      <c r="B30" s="42" t="s">
        <v>151</v>
      </c>
      <c r="C30" s="43"/>
      <c r="D30" s="43" t="s">
        <v>129</v>
      </c>
      <c r="E30" s="43" t="s">
        <v>146</v>
      </c>
      <c r="F30" s="43" t="s">
        <v>138</v>
      </c>
      <c r="G30" s="44" t="s">
        <v>142</v>
      </c>
      <c r="H30" s="45"/>
      <c r="I30" s="45">
        <v>2</v>
      </c>
      <c r="J30" s="45"/>
      <c r="K30" s="45"/>
      <c r="L30" s="45"/>
      <c r="M30" s="45"/>
      <c r="N30" s="45">
        <v>2</v>
      </c>
      <c r="O30" s="45"/>
      <c r="P30" s="45">
        <v>2</v>
      </c>
      <c r="Q30" s="45">
        <v>2</v>
      </c>
      <c r="R30" s="45"/>
      <c r="S30" s="45">
        <v>1</v>
      </c>
      <c r="T30" s="45"/>
      <c r="U30" s="45"/>
      <c r="V30" s="45"/>
      <c r="W30" s="45"/>
      <c r="X30" s="45"/>
      <c r="Y30" s="45"/>
      <c r="Z30" s="45"/>
      <c r="AA30" s="45"/>
      <c r="AB30" s="45">
        <v>2</v>
      </c>
      <c r="AC30" s="45"/>
      <c r="AD30" s="45"/>
      <c r="AE30" s="45">
        <v>2</v>
      </c>
      <c r="AF30" s="45"/>
      <c r="AG30" s="45">
        <v>1</v>
      </c>
      <c r="AH30" s="45"/>
      <c r="AI30" s="45"/>
      <c r="AJ30" s="45">
        <v>2</v>
      </c>
      <c r="AK30" s="45"/>
      <c r="AL30" s="45"/>
      <c r="AM30" s="46"/>
      <c r="AN30" s="47">
        <f t="shared" si="0"/>
        <v>0</v>
      </c>
      <c r="AO30" s="47">
        <f t="shared" si="1"/>
        <v>0</v>
      </c>
      <c r="AP30" s="47">
        <f t="shared" si="2"/>
        <v>0</v>
      </c>
      <c r="AQ30" s="47">
        <f t="shared" si="3"/>
        <v>0</v>
      </c>
      <c r="AR30" s="47">
        <f t="shared" si="4"/>
        <v>0</v>
      </c>
      <c r="AS30" s="47">
        <f t="shared" si="5"/>
        <v>0</v>
      </c>
      <c r="AT30" s="47"/>
      <c r="AU30" s="48"/>
      <c r="AV30" s="50"/>
      <c r="AW30" s="50"/>
      <c r="AX30" s="50"/>
      <c r="AY30" s="50"/>
      <c r="AZ30" s="50"/>
      <c r="BA30" s="50">
        <v>-40000</v>
      </c>
      <c r="BB30" s="43">
        <v>8</v>
      </c>
      <c r="BC30" s="43">
        <v>2026</v>
      </c>
      <c r="BD30" s="51"/>
      <c r="BE30" s="20"/>
    </row>
    <row r="31" spans="1:57" ht="29.1" customHeight="1">
      <c r="A31" s="42">
        <v>24</v>
      </c>
      <c r="B31" s="42" t="s">
        <v>152</v>
      </c>
      <c r="C31" s="43"/>
      <c r="D31" s="43" t="s">
        <v>130</v>
      </c>
      <c r="E31" s="43" t="s">
        <v>74</v>
      </c>
      <c r="F31" s="43" t="s">
        <v>49</v>
      </c>
      <c r="G31" s="44" t="s">
        <v>143</v>
      </c>
      <c r="H31" s="45"/>
      <c r="I31" s="45"/>
      <c r="J31" s="45"/>
      <c r="K31" s="45"/>
      <c r="L31" s="45"/>
      <c r="M31" s="45"/>
      <c r="N31" s="45"/>
      <c r="O31" s="45"/>
      <c r="P31" s="45">
        <v>2</v>
      </c>
      <c r="Q31" s="45">
        <v>2</v>
      </c>
      <c r="R31" s="45"/>
      <c r="S31" s="45"/>
      <c r="T31" s="45"/>
      <c r="U31" s="45"/>
      <c r="V31" s="45"/>
      <c r="W31" s="45">
        <v>2</v>
      </c>
      <c r="X31" s="45">
        <v>2</v>
      </c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6"/>
      <c r="AN31" s="47">
        <f t="shared" si="0"/>
        <v>0</v>
      </c>
      <c r="AO31" s="47">
        <f t="shared" si="1"/>
        <v>0</v>
      </c>
      <c r="AP31" s="47">
        <f t="shared" si="2"/>
        <v>0</v>
      </c>
      <c r="AQ31" s="47">
        <f t="shared" si="3"/>
        <v>0</v>
      </c>
      <c r="AR31" s="47">
        <f t="shared" si="4"/>
        <v>0</v>
      </c>
      <c r="AS31" s="47">
        <f t="shared" si="5"/>
        <v>0</v>
      </c>
      <c r="AT31" s="47"/>
      <c r="AU31" s="48"/>
      <c r="AV31" s="50"/>
      <c r="AW31" s="50"/>
      <c r="AX31" s="50"/>
      <c r="AY31" s="50"/>
      <c r="AZ31" s="50"/>
      <c r="BA31" s="50">
        <v>-40000</v>
      </c>
      <c r="BB31" s="43">
        <v>8</v>
      </c>
      <c r="BC31" s="43">
        <v>2026</v>
      </c>
      <c r="BD31" s="51"/>
      <c r="BE31" s="20"/>
    </row>
    <row r="32" spans="1:57" ht="29.1" customHeight="1">
      <c r="A32" s="42">
        <v>25</v>
      </c>
      <c r="B32" s="42" t="s">
        <v>153</v>
      </c>
      <c r="C32" s="43"/>
      <c r="D32" s="43" t="s">
        <v>131</v>
      </c>
      <c r="E32" s="43" t="s">
        <v>74</v>
      </c>
      <c r="F32" s="43" t="s">
        <v>49</v>
      </c>
      <c r="G32" s="44" t="s">
        <v>143</v>
      </c>
      <c r="H32" s="45"/>
      <c r="I32" s="45">
        <v>2</v>
      </c>
      <c r="J32" s="45">
        <v>2</v>
      </c>
      <c r="K32" s="45"/>
      <c r="L32" s="45"/>
      <c r="M32" s="45"/>
      <c r="N32" s="45"/>
      <c r="O32" s="45"/>
      <c r="P32" s="45"/>
      <c r="Q32" s="45">
        <v>2</v>
      </c>
      <c r="R32" s="45"/>
      <c r="S32" s="45">
        <v>1</v>
      </c>
      <c r="T32" s="45"/>
      <c r="U32" s="45"/>
      <c r="V32" s="45"/>
      <c r="W32" s="45"/>
      <c r="X32" s="45"/>
      <c r="Y32" s="45"/>
      <c r="Z32" s="45"/>
      <c r="AA32" s="45"/>
      <c r="AB32" s="45">
        <v>2</v>
      </c>
      <c r="AC32" s="45"/>
      <c r="AD32" s="45"/>
      <c r="AE32" s="45">
        <v>2</v>
      </c>
      <c r="AF32" s="45"/>
      <c r="AG32" s="45">
        <v>1</v>
      </c>
      <c r="AH32" s="45"/>
      <c r="AI32" s="45"/>
      <c r="AJ32" s="45"/>
      <c r="AK32" s="45"/>
      <c r="AL32" s="45"/>
      <c r="AM32" s="46"/>
      <c r="AN32" s="47">
        <f t="shared" si="0"/>
        <v>0</v>
      </c>
      <c r="AO32" s="47">
        <f t="shared" si="1"/>
        <v>0</v>
      </c>
      <c r="AP32" s="47">
        <f t="shared" si="2"/>
        <v>0</v>
      </c>
      <c r="AQ32" s="47">
        <f t="shared" si="3"/>
        <v>0</v>
      </c>
      <c r="AR32" s="47">
        <f t="shared" si="4"/>
        <v>0</v>
      </c>
      <c r="AS32" s="47">
        <f t="shared" si="5"/>
        <v>0</v>
      </c>
      <c r="AT32" s="47"/>
      <c r="AU32" s="48"/>
      <c r="AV32" s="50"/>
      <c r="AW32" s="50"/>
      <c r="AX32" s="50"/>
      <c r="AY32" s="50"/>
      <c r="AZ32" s="50"/>
      <c r="BA32" s="50">
        <v>-40000</v>
      </c>
      <c r="BB32" s="43">
        <v>8</v>
      </c>
      <c r="BC32" s="43">
        <v>2026</v>
      </c>
      <c r="BD32" s="51"/>
      <c r="BE32" s="20"/>
    </row>
    <row r="33" spans="1:57" ht="29.1" customHeight="1">
      <c r="A33" s="42">
        <v>26</v>
      </c>
      <c r="B33" s="42" t="s">
        <v>155</v>
      </c>
      <c r="C33" s="43"/>
      <c r="D33" s="43" t="s">
        <v>133</v>
      </c>
      <c r="E33" s="43" t="s">
        <v>74</v>
      </c>
      <c r="F33" s="43" t="s">
        <v>48</v>
      </c>
      <c r="G33" s="44" t="s">
        <v>144</v>
      </c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>
        <v>2</v>
      </c>
      <c r="Z33" s="45"/>
      <c r="AA33" s="45"/>
      <c r="AB33" s="45"/>
      <c r="AC33" s="45"/>
      <c r="AD33" s="45"/>
      <c r="AE33" s="45">
        <v>2</v>
      </c>
      <c r="AF33" s="45"/>
      <c r="AG33" s="45"/>
      <c r="AH33" s="45"/>
      <c r="AI33" s="45"/>
      <c r="AJ33" s="45"/>
      <c r="AK33" s="45"/>
      <c r="AL33" s="45"/>
      <c r="AM33" s="46"/>
      <c r="AN33" s="47">
        <f t="shared" si="0"/>
        <v>0</v>
      </c>
      <c r="AO33" s="47">
        <f t="shared" si="1"/>
        <v>0</v>
      </c>
      <c r="AP33" s="47">
        <f t="shared" si="2"/>
        <v>0</v>
      </c>
      <c r="AQ33" s="47">
        <f t="shared" si="3"/>
        <v>0</v>
      </c>
      <c r="AR33" s="47">
        <f t="shared" si="4"/>
        <v>0</v>
      </c>
      <c r="AS33" s="47">
        <f t="shared" si="5"/>
        <v>0</v>
      </c>
      <c r="AT33" s="47"/>
      <c r="AU33" s="48"/>
      <c r="AV33" s="50"/>
      <c r="AW33" s="50"/>
      <c r="AX33" s="50"/>
      <c r="AY33" s="50"/>
      <c r="AZ33" s="50"/>
      <c r="BA33" s="50">
        <v>-40000</v>
      </c>
      <c r="BB33" s="43">
        <v>8</v>
      </c>
      <c r="BC33" s="43">
        <v>2026</v>
      </c>
      <c r="BD33" s="51"/>
      <c r="BE33" s="20"/>
    </row>
    <row r="34" spans="1:57" ht="29.1" customHeight="1">
      <c r="A34" s="42">
        <v>27</v>
      </c>
      <c r="B34" s="42" t="s">
        <v>156</v>
      </c>
      <c r="C34" s="43"/>
      <c r="D34" s="43" t="s">
        <v>134</v>
      </c>
      <c r="E34" s="43" t="s">
        <v>74</v>
      </c>
      <c r="F34" s="43" t="s">
        <v>49</v>
      </c>
      <c r="G34" s="44" t="s">
        <v>145</v>
      </c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6"/>
      <c r="AN34" s="47">
        <f t="shared" si="0"/>
        <v>0</v>
      </c>
      <c r="AO34" s="47">
        <f t="shared" si="1"/>
        <v>0</v>
      </c>
      <c r="AP34" s="47">
        <f t="shared" si="2"/>
        <v>0</v>
      </c>
      <c r="AQ34" s="47">
        <f t="shared" si="3"/>
        <v>0</v>
      </c>
      <c r="AR34" s="47">
        <f t="shared" si="4"/>
        <v>0</v>
      </c>
      <c r="AS34" s="47">
        <f t="shared" si="5"/>
        <v>0</v>
      </c>
      <c r="AT34" s="47"/>
      <c r="AU34" s="48"/>
      <c r="AV34" s="50"/>
      <c r="AW34" s="50"/>
      <c r="AX34" s="50"/>
      <c r="AY34" s="50"/>
      <c r="AZ34" s="50"/>
      <c r="BA34" s="50">
        <v>-40000</v>
      </c>
      <c r="BB34" s="43">
        <v>8</v>
      </c>
      <c r="BC34" s="43">
        <v>2026</v>
      </c>
      <c r="BD34" s="51"/>
      <c r="BE34" s="20"/>
    </row>
    <row r="35" spans="1:57" ht="29.1" customHeight="1">
      <c r="A35" s="42">
        <v>28</v>
      </c>
      <c r="B35" s="42" t="s">
        <v>157</v>
      </c>
      <c r="C35" s="43"/>
      <c r="D35" s="43" t="s">
        <v>135</v>
      </c>
      <c r="E35" s="43" t="s">
        <v>74</v>
      </c>
      <c r="F35" s="43" t="s">
        <v>48</v>
      </c>
      <c r="G35" s="44" t="s">
        <v>145</v>
      </c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>
        <v>2</v>
      </c>
      <c r="Z35" s="45"/>
      <c r="AA35" s="45"/>
      <c r="AB35" s="45"/>
      <c r="AC35" s="45"/>
      <c r="AD35" s="45"/>
      <c r="AE35" s="45">
        <v>2</v>
      </c>
      <c r="AF35" s="45"/>
      <c r="AG35" s="45"/>
      <c r="AH35" s="45"/>
      <c r="AI35" s="45"/>
      <c r="AJ35" s="45"/>
      <c r="AK35" s="45"/>
      <c r="AL35" s="45"/>
      <c r="AM35" s="46"/>
      <c r="AN35" s="47">
        <f t="shared" si="0"/>
        <v>0</v>
      </c>
      <c r="AO35" s="47">
        <f t="shared" si="1"/>
        <v>0</v>
      </c>
      <c r="AP35" s="47">
        <f t="shared" si="2"/>
        <v>0</v>
      </c>
      <c r="AQ35" s="47">
        <f t="shared" si="3"/>
        <v>0</v>
      </c>
      <c r="AR35" s="47">
        <f t="shared" si="4"/>
        <v>0</v>
      </c>
      <c r="AS35" s="47">
        <f t="shared" si="5"/>
        <v>0</v>
      </c>
      <c r="AT35" s="47"/>
      <c r="AU35" s="48"/>
      <c r="AV35" s="50"/>
      <c r="AW35" s="50"/>
      <c r="AX35" s="50"/>
      <c r="AY35" s="50"/>
      <c r="AZ35" s="50"/>
      <c r="BA35" s="50">
        <v>-40000</v>
      </c>
      <c r="BB35" s="43">
        <v>8</v>
      </c>
      <c r="BC35" s="43">
        <v>2026</v>
      </c>
      <c r="BD35" s="51"/>
      <c r="BE35" s="20"/>
    </row>
    <row r="36" spans="1:57" ht="29.1" customHeight="1">
      <c r="A36" s="42">
        <v>29</v>
      </c>
      <c r="B36" s="42" t="s">
        <v>158</v>
      </c>
      <c r="C36" s="43"/>
      <c r="D36" s="43" t="s">
        <v>136</v>
      </c>
      <c r="E36" s="43" t="s">
        <v>74</v>
      </c>
      <c r="F36" s="43" t="s">
        <v>48</v>
      </c>
      <c r="G36" s="44" t="s">
        <v>145</v>
      </c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6"/>
      <c r="AN36" s="47">
        <f t="shared" si="0"/>
        <v>0</v>
      </c>
      <c r="AO36" s="47">
        <f t="shared" si="1"/>
        <v>0</v>
      </c>
      <c r="AP36" s="47">
        <f t="shared" si="2"/>
        <v>0</v>
      </c>
      <c r="AQ36" s="47">
        <f t="shared" si="3"/>
        <v>0</v>
      </c>
      <c r="AR36" s="47">
        <f t="shared" si="4"/>
        <v>0</v>
      </c>
      <c r="AS36" s="47">
        <f t="shared" si="5"/>
        <v>0</v>
      </c>
      <c r="AT36" s="47"/>
      <c r="AU36" s="48"/>
      <c r="AV36" s="50"/>
      <c r="AW36" s="50"/>
      <c r="AX36" s="50"/>
      <c r="AY36" s="50"/>
      <c r="AZ36" s="50"/>
      <c r="BA36" s="50">
        <v>-40000</v>
      </c>
      <c r="BB36" s="43">
        <v>8</v>
      </c>
      <c r="BC36" s="43">
        <v>2026</v>
      </c>
      <c r="BD36" s="51"/>
      <c r="BE36" s="20"/>
    </row>
    <row r="37" spans="1:57" ht="29.1" customHeight="1">
      <c r="A37" s="42">
        <v>30</v>
      </c>
      <c r="B37" s="42" t="s">
        <v>174</v>
      </c>
      <c r="C37" s="43"/>
      <c r="D37" s="43" t="s">
        <v>165</v>
      </c>
      <c r="E37" s="43" t="s">
        <v>74</v>
      </c>
      <c r="F37" s="43" t="s">
        <v>48</v>
      </c>
      <c r="G37" s="44" t="s">
        <v>170</v>
      </c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>
        <v>2</v>
      </c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6"/>
      <c r="AN37" s="47">
        <f t="shared" si="0"/>
        <v>0</v>
      </c>
      <c r="AO37" s="47">
        <f t="shared" si="1"/>
        <v>0</v>
      </c>
      <c r="AP37" s="47">
        <f t="shared" si="2"/>
        <v>0</v>
      </c>
      <c r="AQ37" s="47">
        <f t="shared" si="3"/>
        <v>0</v>
      </c>
      <c r="AR37" s="47">
        <f t="shared" si="4"/>
        <v>0</v>
      </c>
      <c r="AS37" s="47">
        <f t="shared" si="5"/>
        <v>0</v>
      </c>
      <c r="AT37" s="47"/>
      <c r="AU37" s="48"/>
      <c r="AV37" s="50"/>
      <c r="AW37" s="50"/>
      <c r="AX37" s="50"/>
      <c r="AY37" s="50"/>
      <c r="AZ37" s="50"/>
      <c r="BA37" s="50">
        <v>-40000</v>
      </c>
      <c r="BB37" s="43">
        <v>8</v>
      </c>
      <c r="BC37" s="43">
        <v>2026</v>
      </c>
      <c r="BD37" s="51"/>
      <c r="BE37" s="20"/>
    </row>
    <row r="38" spans="1:57" ht="29.1" customHeight="1">
      <c r="A38" s="42">
        <v>31</v>
      </c>
      <c r="B38" s="42" t="s">
        <v>176</v>
      </c>
      <c r="C38" s="43"/>
      <c r="D38" s="43" t="s">
        <v>167</v>
      </c>
      <c r="E38" s="43" t="s">
        <v>74</v>
      </c>
      <c r="F38" s="43" t="s">
        <v>48</v>
      </c>
      <c r="G38" s="44" t="s">
        <v>171</v>
      </c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6"/>
      <c r="AN38" s="47">
        <f t="shared" si="0"/>
        <v>0</v>
      </c>
      <c r="AO38" s="47">
        <f t="shared" si="1"/>
        <v>0</v>
      </c>
      <c r="AP38" s="47">
        <f t="shared" si="2"/>
        <v>0</v>
      </c>
      <c r="AQ38" s="47">
        <f t="shared" si="3"/>
        <v>0</v>
      </c>
      <c r="AR38" s="47">
        <f t="shared" si="4"/>
        <v>0</v>
      </c>
      <c r="AS38" s="47">
        <f t="shared" si="5"/>
        <v>0</v>
      </c>
      <c r="AT38" s="47"/>
      <c r="AU38" s="48"/>
      <c r="AV38" s="50"/>
      <c r="AW38" s="50"/>
      <c r="AX38" s="50"/>
      <c r="AY38" s="50"/>
      <c r="AZ38" s="50"/>
      <c r="BA38" s="50">
        <v>-40000</v>
      </c>
      <c r="BB38" s="43">
        <v>8</v>
      </c>
      <c r="BC38" s="43">
        <v>2026</v>
      </c>
      <c r="BD38" s="51"/>
      <c r="BE38" s="20"/>
    </row>
    <row r="39" spans="1:57" ht="29.1" customHeight="1">
      <c r="A39" s="42">
        <v>32</v>
      </c>
      <c r="B39" s="42" t="s">
        <v>178</v>
      </c>
      <c r="C39" s="56"/>
      <c r="D39" s="56" t="s">
        <v>169</v>
      </c>
      <c r="E39" s="56" t="s">
        <v>74</v>
      </c>
      <c r="F39" s="56" t="s">
        <v>48</v>
      </c>
      <c r="G39" s="57" t="s">
        <v>173</v>
      </c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6"/>
      <c r="AN39" s="47">
        <f t="shared" si="0"/>
        <v>0</v>
      </c>
      <c r="AO39" s="47">
        <f t="shared" si="1"/>
        <v>0</v>
      </c>
      <c r="AP39" s="47">
        <f t="shared" si="2"/>
        <v>0</v>
      </c>
      <c r="AQ39" s="47">
        <f t="shared" si="3"/>
        <v>0</v>
      </c>
      <c r="AR39" s="47">
        <f t="shared" si="4"/>
        <v>0</v>
      </c>
      <c r="AS39" s="47">
        <f t="shared" si="5"/>
        <v>0</v>
      </c>
      <c r="AT39" s="47"/>
      <c r="AU39" s="48"/>
      <c r="AV39" s="52"/>
      <c r="AW39" s="52"/>
      <c r="AX39" s="52"/>
      <c r="AY39" s="52"/>
      <c r="AZ39" s="50"/>
      <c r="BA39" s="52">
        <v>-40000</v>
      </c>
      <c r="BB39" s="43">
        <v>8</v>
      </c>
      <c r="BC39" s="43">
        <v>2026</v>
      </c>
      <c r="BD39" s="56"/>
      <c r="BE39" s="20"/>
    </row>
    <row r="40" spans="1:57" ht="29.1" customHeight="1">
      <c r="A40" s="42">
        <v>33</v>
      </c>
      <c r="B40" s="42" t="s">
        <v>184</v>
      </c>
      <c r="C40" s="43"/>
      <c r="D40" s="43" t="s">
        <v>181</v>
      </c>
      <c r="E40" s="43" t="s">
        <v>74</v>
      </c>
      <c r="F40" s="44" t="s">
        <v>48</v>
      </c>
      <c r="G40" s="44" t="s">
        <v>182</v>
      </c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>
        <v>2</v>
      </c>
      <c r="Z40" s="45"/>
      <c r="AA40" s="45"/>
      <c r="AB40" s="45"/>
      <c r="AC40" s="45"/>
      <c r="AD40" s="45"/>
      <c r="AE40" s="45">
        <v>2</v>
      </c>
      <c r="AF40" s="45"/>
      <c r="AG40" s="45"/>
      <c r="AH40" s="45"/>
      <c r="AI40" s="45"/>
      <c r="AJ40" s="45"/>
      <c r="AK40" s="45"/>
      <c r="AL40" s="45"/>
      <c r="AM40" s="46"/>
      <c r="AN40" s="47">
        <f t="shared" si="0"/>
        <v>0</v>
      </c>
      <c r="AO40" s="47">
        <f t="shared" si="1"/>
        <v>0</v>
      </c>
      <c r="AP40" s="47">
        <f t="shared" si="2"/>
        <v>0</v>
      </c>
      <c r="AQ40" s="47">
        <f t="shared" si="3"/>
        <v>0</v>
      </c>
      <c r="AR40" s="47">
        <f t="shared" si="4"/>
        <v>0</v>
      </c>
      <c r="AS40" s="47">
        <f t="shared" si="5"/>
        <v>0</v>
      </c>
      <c r="AT40" s="47"/>
      <c r="AU40" s="48"/>
      <c r="AV40" s="50"/>
      <c r="AW40" s="50"/>
      <c r="AX40" s="50"/>
      <c r="AY40" s="50"/>
      <c r="AZ40" s="50"/>
      <c r="BA40" s="50">
        <v>-40000</v>
      </c>
      <c r="BB40" s="43">
        <v>8</v>
      </c>
      <c r="BC40" s="43">
        <v>2026</v>
      </c>
      <c r="BD40" s="43"/>
      <c r="BE40" s="20"/>
    </row>
    <row r="41" spans="1:57" ht="29.1" customHeight="1">
      <c r="A41" s="42">
        <v>34</v>
      </c>
      <c r="B41" s="42" t="s">
        <v>185</v>
      </c>
      <c r="C41" s="43"/>
      <c r="D41" s="43" t="s">
        <v>183</v>
      </c>
      <c r="E41" s="43" t="s">
        <v>74</v>
      </c>
      <c r="F41" s="44" t="s">
        <v>48</v>
      </c>
      <c r="G41" s="59" t="s">
        <v>187</v>
      </c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6"/>
      <c r="AN41" s="47">
        <f t="shared" si="0"/>
        <v>0</v>
      </c>
      <c r="AO41" s="47">
        <f t="shared" si="1"/>
        <v>0</v>
      </c>
      <c r="AP41" s="47">
        <f t="shared" si="2"/>
        <v>0</v>
      </c>
      <c r="AQ41" s="47">
        <f t="shared" si="3"/>
        <v>0</v>
      </c>
      <c r="AR41" s="47">
        <f t="shared" si="4"/>
        <v>0</v>
      </c>
      <c r="AS41" s="47">
        <f t="shared" si="5"/>
        <v>0</v>
      </c>
      <c r="AT41" s="47"/>
      <c r="AU41" s="48"/>
      <c r="AV41" s="50"/>
      <c r="AW41" s="50"/>
      <c r="AX41" s="50"/>
      <c r="AY41" s="50"/>
      <c r="AZ41" s="50"/>
      <c r="BA41" s="50">
        <v>-40000</v>
      </c>
      <c r="BB41" s="43">
        <v>8</v>
      </c>
      <c r="BC41" s="43">
        <v>2026</v>
      </c>
      <c r="BD41" s="43"/>
      <c r="BE41" s="20"/>
    </row>
    <row r="42" spans="1:57" ht="29.1" customHeight="1">
      <c r="A42" s="42">
        <v>35</v>
      </c>
      <c r="B42" s="42" t="s">
        <v>192</v>
      </c>
      <c r="C42" s="56"/>
      <c r="D42" s="61" t="s">
        <v>191</v>
      </c>
      <c r="E42" s="56" t="s">
        <v>74</v>
      </c>
      <c r="F42" s="57" t="s">
        <v>48</v>
      </c>
      <c r="G42" s="62" t="s">
        <v>193</v>
      </c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6"/>
      <c r="AN42" s="47">
        <f t="shared" si="0"/>
        <v>0</v>
      </c>
      <c r="AO42" s="47">
        <f t="shared" si="1"/>
        <v>0</v>
      </c>
      <c r="AP42" s="47">
        <f t="shared" si="2"/>
        <v>0</v>
      </c>
      <c r="AQ42" s="47">
        <f t="shared" si="3"/>
        <v>0</v>
      </c>
      <c r="AR42" s="47">
        <f t="shared" si="4"/>
        <v>0</v>
      </c>
      <c r="AS42" s="47">
        <f t="shared" si="5"/>
        <v>0</v>
      </c>
      <c r="AT42" s="47"/>
      <c r="AU42" s="48"/>
      <c r="AV42" s="52"/>
      <c r="AW42" s="52"/>
      <c r="AX42" s="52"/>
      <c r="AY42" s="52"/>
      <c r="AZ42" s="50"/>
      <c r="BA42" s="50">
        <v>-40000</v>
      </c>
      <c r="BB42" s="43">
        <v>8</v>
      </c>
      <c r="BC42" s="43">
        <v>2026</v>
      </c>
      <c r="BD42" s="56"/>
      <c r="BE42" s="20"/>
    </row>
    <row r="43" spans="1:57" ht="29.1" customHeight="1">
      <c r="A43" s="42">
        <v>36</v>
      </c>
      <c r="B43" s="42" t="s">
        <v>201</v>
      </c>
      <c r="C43" s="43"/>
      <c r="D43" s="61" t="s">
        <v>195</v>
      </c>
      <c r="E43" s="43" t="s">
        <v>74</v>
      </c>
      <c r="F43" s="44" t="s">
        <v>197</v>
      </c>
      <c r="G43" s="60" t="s">
        <v>199</v>
      </c>
      <c r="H43" s="45"/>
      <c r="I43" s="45"/>
      <c r="J43" s="45"/>
      <c r="K43" s="45"/>
      <c r="L43" s="45"/>
      <c r="M43" s="45"/>
      <c r="N43" s="45"/>
      <c r="O43" s="45"/>
      <c r="P43" s="45">
        <v>2</v>
      </c>
      <c r="Q43" s="45">
        <v>2</v>
      </c>
      <c r="R43" s="45"/>
      <c r="S43" s="45">
        <v>2</v>
      </c>
      <c r="T43" s="45"/>
      <c r="U43" s="45"/>
      <c r="V43" s="45">
        <v>2</v>
      </c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6"/>
      <c r="AN43" s="47">
        <f t="shared" si="0"/>
        <v>0</v>
      </c>
      <c r="AO43" s="47">
        <f t="shared" si="1"/>
        <v>0</v>
      </c>
      <c r="AP43" s="47">
        <f t="shared" si="2"/>
        <v>0</v>
      </c>
      <c r="AQ43" s="47">
        <f t="shared" si="3"/>
        <v>0</v>
      </c>
      <c r="AR43" s="47">
        <f t="shared" si="4"/>
        <v>0</v>
      </c>
      <c r="AS43" s="47">
        <f t="shared" si="5"/>
        <v>0</v>
      </c>
      <c r="AT43" s="47"/>
      <c r="AU43" s="48"/>
      <c r="AV43" s="50"/>
      <c r="AW43" s="50"/>
      <c r="AX43" s="50"/>
      <c r="AY43" s="50"/>
      <c r="AZ43" s="50"/>
      <c r="BA43" s="50">
        <v>-40000</v>
      </c>
      <c r="BB43" s="43">
        <v>8</v>
      </c>
      <c r="BC43" s="43">
        <v>2026</v>
      </c>
      <c r="BD43" s="43"/>
      <c r="BE43" s="20"/>
    </row>
    <row r="44" spans="1:57" ht="29.1" customHeight="1">
      <c r="A44" s="42">
        <v>37</v>
      </c>
      <c r="B44" s="42" t="s">
        <v>202</v>
      </c>
      <c r="C44" s="43"/>
      <c r="D44" s="61" t="s">
        <v>196</v>
      </c>
      <c r="E44" s="43" t="s">
        <v>74</v>
      </c>
      <c r="F44" s="44" t="s">
        <v>197</v>
      </c>
      <c r="G44" s="60" t="s">
        <v>199</v>
      </c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6"/>
      <c r="AN44" s="47">
        <f t="shared" si="0"/>
        <v>0</v>
      </c>
      <c r="AO44" s="47">
        <f t="shared" si="1"/>
        <v>0</v>
      </c>
      <c r="AP44" s="47">
        <f t="shared" si="2"/>
        <v>0</v>
      </c>
      <c r="AQ44" s="47">
        <f t="shared" si="3"/>
        <v>0</v>
      </c>
      <c r="AR44" s="47">
        <f t="shared" si="4"/>
        <v>0</v>
      </c>
      <c r="AS44" s="47">
        <f t="shared" si="5"/>
        <v>0</v>
      </c>
      <c r="AT44" s="47"/>
      <c r="AU44" s="48"/>
      <c r="AV44" s="50"/>
      <c r="AW44" s="50"/>
      <c r="AX44" s="50"/>
      <c r="AY44" s="50"/>
      <c r="AZ44" s="50"/>
      <c r="BA44" s="50">
        <v>-40000</v>
      </c>
      <c r="BB44" s="43">
        <v>8</v>
      </c>
      <c r="BC44" s="43">
        <v>2026</v>
      </c>
      <c r="BD44" s="43"/>
      <c r="BE44" s="20"/>
    </row>
    <row r="45" spans="1:57" ht="29.1" customHeight="1">
      <c r="A45" s="42">
        <v>38</v>
      </c>
      <c r="B45" s="42" t="s">
        <v>206</v>
      </c>
      <c r="C45" s="56"/>
      <c r="D45" s="61" t="s">
        <v>207</v>
      </c>
      <c r="E45" s="56" t="s">
        <v>74</v>
      </c>
      <c r="F45" s="57" t="s">
        <v>197</v>
      </c>
      <c r="G45" s="62" t="s">
        <v>208</v>
      </c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>
        <v>3</v>
      </c>
      <c r="Y45" s="45">
        <v>2</v>
      </c>
      <c r="Z45" s="45"/>
      <c r="AA45" s="45"/>
      <c r="AB45" s="45"/>
      <c r="AC45" s="45"/>
      <c r="AD45" s="45"/>
      <c r="AE45" s="45">
        <v>2</v>
      </c>
      <c r="AF45" s="45"/>
      <c r="AG45" s="45"/>
      <c r="AH45" s="45"/>
      <c r="AI45" s="45"/>
      <c r="AJ45" s="45"/>
      <c r="AK45" s="45"/>
      <c r="AL45" s="45"/>
      <c r="AM45" s="46"/>
      <c r="AN45" s="47">
        <f t="shared" si="0"/>
        <v>0</v>
      </c>
      <c r="AO45" s="47">
        <f t="shared" si="1"/>
        <v>0</v>
      </c>
      <c r="AP45" s="47">
        <f t="shared" si="2"/>
        <v>0</v>
      </c>
      <c r="AQ45" s="47">
        <f t="shared" si="3"/>
        <v>0</v>
      </c>
      <c r="AR45" s="47">
        <f t="shared" si="4"/>
        <v>0</v>
      </c>
      <c r="AS45" s="47">
        <f t="shared" si="5"/>
        <v>0</v>
      </c>
      <c r="AT45" s="47"/>
      <c r="AU45" s="48"/>
      <c r="AV45" s="50"/>
      <c r="AW45" s="50"/>
      <c r="AX45" s="52"/>
      <c r="AY45" s="52"/>
      <c r="AZ45" s="50"/>
      <c r="BA45" s="52">
        <v>-40000</v>
      </c>
      <c r="BB45" s="43">
        <v>8</v>
      </c>
      <c r="BC45" s="43">
        <v>2026</v>
      </c>
      <c r="BD45" s="43"/>
      <c r="BE45" s="20"/>
    </row>
    <row r="46" spans="1:57" ht="29.1" customHeight="1">
      <c r="A46" s="42">
        <v>39</v>
      </c>
      <c r="B46" s="53" t="s">
        <v>210</v>
      </c>
      <c r="C46" s="54"/>
      <c r="D46" s="63" t="s">
        <v>214</v>
      </c>
      <c r="E46" s="54" t="s">
        <v>74</v>
      </c>
      <c r="F46" s="55" t="s">
        <v>197</v>
      </c>
      <c r="G46" s="64" t="s">
        <v>208</v>
      </c>
      <c r="H46" s="119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120"/>
      <c r="AH46" s="120"/>
      <c r="AI46" s="120"/>
      <c r="AJ46" s="120"/>
      <c r="AK46" s="120"/>
      <c r="AL46" s="121"/>
      <c r="AM46" s="46"/>
      <c r="AN46" s="47">
        <f t="shared" si="0"/>
        <v>0</v>
      </c>
      <c r="AO46" s="47">
        <f t="shared" si="1"/>
        <v>0</v>
      </c>
      <c r="AP46" s="47">
        <f t="shared" si="2"/>
        <v>0</v>
      </c>
      <c r="AQ46" s="47">
        <f t="shared" si="3"/>
        <v>0</v>
      </c>
      <c r="AR46" s="47">
        <f t="shared" si="4"/>
        <v>0</v>
      </c>
      <c r="AS46" s="47">
        <f t="shared" si="5"/>
        <v>0</v>
      </c>
      <c r="AT46" s="47"/>
      <c r="AU46" s="48"/>
      <c r="AV46" s="52"/>
      <c r="AW46" s="52"/>
      <c r="AX46" s="52"/>
      <c r="AY46" s="52"/>
      <c r="AZ46" s="52"/>
      <c r="BA46" s="52"/>
      <c r="BB46" s="43">
        <v>8</v>
      </c>
      <c r="BC46" s="43">
        <v>2026</v>
      </c>
      <c r="BD46" s="56"/>
      <c r="BE46" s="20"/>
    </row>
    <row r="47" spans="1:57" ht="29.1" customHeight="1">
      <c r="A47" s="42">
        <v>40</v>
      </c>
      <c r="B47" s="42" t="s">
        <v>211</v>
      </c>
      <c r="C47" s="43"/>
      <c r="D47" s="61" t="s">
        <v>215</v>
      </c>
      <c r="E47" s="43" t="s">
        <v>74</v>
      </c>
      <c r="F47" s="44" t="s">
        <v>197</v>
      </c>
      <c r="G47" s="60" t="s">
        <v>208</v>
      </c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6"/>
      <c r="AN47" s="47">
        <f t="shared" si="0"/>
        <v>0</v>
      </c>
      <c r="AO47" s="47">
        <f t="shared" si="1"/>
        <v>0</v>
      </c>
      <c r="AP47" s="47">
        <f t="shared" si="2"/>
        <v>0</v>
      </c>
      <c r="AQ47" s="47">
        <f t="shared" si="3"/>
        <v>0</v>
      </c>
      <c r="AR47" s="47">
        <f t="shared" si="4"/>
        <v>0</v>
      </c>
      <c r="AS47" s="47">
        <f t="shared" si="5"/>
        <v>0</v>
      </c>
      <c r="AT47" s="47"/>
      <c r="AU47" s="48"/>
      <c r="AV47" s="50"/>
      <c r="AW47" s="50"/>
      <c r="AX47" s="50"/>
      <c r="AY47" s="50"/>
      <c r="AZ47" s="50"/>
      <c r="BA47" s="52">
        <v>-40000</v>
      </c>
      <c r="BB47" s="43">
        <v>8</v>
      </c>
      <c r="BC47" s="43">
        <v>2026</v>
      </c>
      <c r="BD47" s="43"/>
      <c r="BE47" s="20"/>
    </row>
    <row r="48" spans="1:57" ht="29.1" customHeight="1">
      <c r="A48" s="42">
        <v>41</v>
      </c>
      <c r="B48" s="42" t="s">
        <v>212</v>
      </c>
      <c r="C48" s="43"/>
      <c r="D48" s="61" t="s">
        <v>216</v>
      </c>
      <c r="E48" s="43" t="s">
        <v>74</v>
      </c>
      <c r="F48" s="44" t="s">
        <v>197</v>
      </c>
      <c r="G48" s="60" t="s">
        <v>208</v>
      </c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6"/>
      <c r="AN48" s="47">
        <f t="shared" si="0"/>
        <v>0</v>
      </c>
      <c r="AO48" s="47">
        <f t="shared" si="1"/>
        <v>0</v>
      </c>
      <c r="AP48" s="47">
        <f t="shared" si="2"/>
        <v>0</v>
      </c>
      <c r="AQ48" s="47">
        <f t="shared" si="3"/>
        <v>0</v>
      </c>
      <c r="AR48" s="47">
        <f t="shared" si="4"/>
        <v>0</v>
      </c>
      <c r="AS48" s="47">
        <f t="shared" si="5"/>
        <v>0</v>
      </c>
      <c r="AT48" s="47"/>
      <c r="AU48" s="48"/>
      <c r="AV48" s="50"/>
      <c r="AW48" s="50"/>
      <c r="AX48" s="50"/>
      <c r="AY48" s="50"/>
      <c r="AZ48" s="50"/>
      <c r="BA48" s="52">
        <v>-40000</v>
      </c>
      <c r="BB48" s="43">
        <v>8</v>
      </c>
      <c r="BC48" s="43">
        <v>2026</v>
      </c>
      <c r="BD48" s="43"/>
      <c r="BE48" s="20"/>
    </row>
    <row r="49" spans="1:57" ht="29.1" customHeight="1">
      <c r="A49" s="42">
        <v>42</v>
      </c>
      <c r="B49" s="42" t="s">
        <v>221</v>
      </c>
      <c r="C49" s="43"/>
      <c r="D49" s="61" t="s">
        <v>223</v>
      </c>
      <c r="E49" s="43" t="s">
        <v>74</v>
      </c>
      <c r="F49" s="44" t="s">
        <v>197</v>
      </c>
      <c r="G49" s="65" t="s">
        <v>224</v>
      </c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6"/>
      <c r="AN49" s="47">
        <f t="shared" si="0"/>
        <v>0</v>
      </c>
      <c r="AO49" s="47">
        <f t="shared" si="1"/>
        <v>0</v>
      </c>
      <c r="AP49" s="47">
        <f t="shared" si="2"/>
        <v>0</v>
      </c>
      <c r="AQ49" s="47">
        <f t="shared" si="3"/>
        <v>0</v>
      </c>
      <c r="AR49" s="47">
        <f t="shared" si="4"/>
        <v>0</v>
      </c>
      <c r="AS49" s="47">
        <f t="shared" si="5"/>
        <v>0</v>
      </c>
      <c r="AT49" s="47"/>
      <c r="AU49" s="48"/>
      <c r="AV49" s="50"/>
      <c r="AW49" s="50"/>
      <c r="AX49" s="50"/>
      <c r="AY49" s="50"/>
      <c r="AZ49" s="50"/>
      <c r="BA49" s="52">
        <v>-40000</v>
      </c>
      <c r="BB49" s="43">
        <v>8</v>
      </c>
      <c r="BC49" s="43">
        <v>2026</v>
      </c>
      <c r="BD49" s="43"/>
      <c r="BE49" s="20"/>
    </row>
    <row r="50" spans="1:57" ht="29.1" customHeight="1">
      <c r="A50" s="42">
        <v>43</v>
      </c>
      <c r="B50" s="42" t="s">
        <v>228</v>
      </c>
      <c r="C50" s="43"/>
      <c r="D50" s="61" t="s">
        <v>229</v>
      </c>
      <c r="E50" s="43" t="s">
        <v>95</v>
      </c>
      <c r="F50" s="44" t="s">
        <v>230</v>
      </c>
      <c r="G50" s="65" t="s">
        <v>231</v>
      </c>
      <c r="H50" s="45"/>
      <c r="I50" s="45"/>
      <c r="J50" s="45">
        <v>1</v>
      </c>
      <c r="K50" s="45">
        <v>2.5</v>
      </c>
      <c r="L50" s="45"/>
      <c r="M50" s="45">
        <v>8</v>
      </c>
      <c r="N50" s="45"/>
      <c r="O50" s="45"/>
      <c r="P50" s="45"/>
      <c r="Q50" s="45">
        <v>2</v>
      </c>
      <c r="R50" s="45"/>
      <c r="S50" s="45"/>
      <c r="T50" s="45"/>
      <c r="U50" s="45">
        <v>2</v>
      </c>
      <c r="V50" s="45">
        <v>2</v>
      </c>
      <c r="W50" s="45">
        <v>1</v>
      </c>
      <c r="X50" s="45"/>
      <c r="Y50" s="45"/>
      <c r="Z50" s="45"/>
      <c r="AA50" s="45"/>
      <c r="AB50" s="45"/>
      <c r="AC50" s="45">
        <v>1</v>
      </c>
      <c r="AD50" s="45"/>
      <c r="AE50" s="45"/>
      <c r="AF50" s="45"/>
      <c r="AG50" s="45"/>
      <c r="AH50" s="45"/>
      <c r="AI50" s="45">
        <v>2</v>
      </c>
      <c r="AJ50" s="45"/>
      <c r="AK50" s="45"/>
      <c r="AL50" s="45">
        <v>2</v>
      </c>
      <c r="AM50" s="46"/>
      <c r="AN50" s="47">
        <f t="shared" si="0"/>
        <v>0</v>
      </c>
      <c r="AO50" s="47">
        <f t="shared" si="1"/>
        <v>0</v>
      </c>
      <c r="AP50" s="47">
        <f t="shared" si="2"/>
        <v>0</v>
      </c>
      <c r="AQ50" s="47">
        <f t="shared" si="3"/>
        <v>0</v>
      </c>
      <c r="AR50" s="47">
        <f t="shared" si="4"/>
        <v>0</v>
      </c>
      <c r="AS50" s="47">
        <f t="shared" si="5"/>
        <v>0</v>
      </c>
      <c r="AT50" s="47"/>
      <c r="AU50" s="48"/>
      <c r="AV50" s="50"/>
      <c r="AW50" s="50"/>
      <c r="AX50" s="50"/>
      <c r="AY50" s="50"/>
      <c r="AZ50" s="50"/>
      <c r="BA50" s="52">
        <v>-40000</v>
      </c>
      <c r="BB50" s="43">
        <v>8</v>
      </c>
      <c r="BC50" s="43">
        <v>2026</v>
      </c>
      <c r="BD50" s="43"/>
      <c r="BE50" s="20"/>
    </row>
    <row r="51" spans="1:57" ht="29.1" customHeight="1">
      <c r="A51" s="42">
        <v>44</v>
      </c>
      <c r="B51" s="42" t="s">
        <v>234</v>
      </c>
      <c r="C51" s="43"/>
      <c r="D51" s="61" t="s">
        <v>235</v>
      </c>
      <c r="E51" s="43" t="s">
        <v>74</v>
      </c>
      <c r="F51" s="44" t="s">
        <v>197</v>
      </c>
      <c r="G51" s="65" t="s">
        <v>236</v>
      </c>
      <c r="H51" s="45"/>
      <c r="I51" s="45"/>
      <c r="J51" s="45"/>
      <c r="K51" s="45"/>
      <c r="L51" s="45"/>
      <c r="M51" s="45"/>
      <c r="N51" s="45"/>
      <c r="O51" s="45"/>
      <c r="P51" s="45">
        <v>2</v>
      </c>
      <c r="Q51" s="45">
        <v>2</v>
      </c>
      <c r="R51" s="45"/>
      <c r="S51" s="45"/>
      <c r="T51" s="45"/>
      <c r="U51" s="45"/>
      <c r="V51" s="45">
        <v>2</v>
      </c>
      <c r="W51" s="45"/>
      <c r="X51" s="45"/>
      <c r="Y51" s="45"/>
      <c r="Z51" s="45"/>
      <c r="AA51" s="45"/>
      <c r="AB51" s="45"/>
      <c r="AC51" s="45"/>
      <c r="AD51" s="45"/>
      <c r="AE51" s="45">
        <v>2</v>
      </c>
      <c r="AF51" s="45"/>
      <c r="AG51" s="45"/>
      <c r="AH51" s="45"/>
      <c r="AI51" s="45"/>
      <c r="AJ51" s="45"/>
      <c r="AK51" s="45"/>
      <c r="AL51" s="45"/>
      <c r="AM51" s="46"/>
      <c r="AN51" s="47">
        <f t="shared" si="0"/>
        <v>0</v>
      </c>
      <c r="AO51" s="47">
        <f t="shared" si="1"/>
        <v>0</v>
      </c>
      <c r="AP51" s="47">
        <f t="shared" si="2"/>
        <v>0</v>
      </c>
      <c r="AQ51" s="47">
        <f t="shared" si="3"/>
        <v>0</v>
      </c>
      <c r="AR51" s="47">
        <f t="shared" si="4"/>
        <v>0</v>
      </c>
      <c r="AS51" s="47">
        <f t="shared" si="5"/>
        <v>0</v>
      </c>
      <c r="AT51" s="47"/>
      <c r="AU51" s="48"/>
      <c r="AV51" s="50"/>
      <c r="AW51" s="50"/>
      <c r="AX51" s="50"/>
      <c r="AY51" s="50"/>
      <c r="AZ51" s="50"/>
      <c r="BA51" s="52">
        <v>-40000</v>
      </c>
      <c r="BB51" s="43">
        <v>8</v>
      </c>
      <c r="BC51" s="43">
        <v>2026</v>
      </c>
      <c r="BD51" s="43"/>
      <c r="BE51" s="20"/>
    </row>
    <row r="52" spans="1:57" ht="29.1" customHeight="1">
      <c r="A52" s="42">
        <v>45</v>
      </c>
      <c r="B52" s="42" t="s">
        <v>254</v>
      </c>
      <c r="C52" s="56"/>
      <c r="D52" s="61" t="s">
        <v>240</v>
      </c>
      <c r="E52" s="56" t="s">
        <v>74</v>
      </c>
      <c r="F52" s="57" t="s">
        <v>197</v>
      </c>
      <c r="G52" s="65" t="s">
        <v>246</v>
      </c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6"/>
      <c r="AN52" s="47">
        <f t="shared" si="0"/>
        <v>0</v>
      </c>
      <c r="AO52" s="47">
        <f t="shared" si="1"/>
        <v>0</v>
      </c>
      <c r="AP52" s="47">
        <f t="shared" si="2"/>
        <v>0</v>
      </c>
      <c r="AQ52" s="47">
        <f t="shared" si="3"/>
        <v>0</v>
      </c>
      <c r="AR52" s="47">
        <f t="shared" si="4"/>
        <v>0</v>
      </c>
      <c r="AS52" s="47">
        <f t="shared" si="5"/>
        <v>0</v>
      </c>
      <c r="AT52" s="47"/>
      <c r="AU52" s="48"/>
      <c r="AV52" s="52"/>
      <c r="AW52" s="52"/>
      <c r="AX52" s="52"/>
      <c r="AY52" s="52"/>
      <c r="AZ52" s="50"/>
      <c r="BA52" s="52">
        <v>-40000</v>
      </c>
      <c r="BB52" s="43">
        <v>8</v>
      </c>
      <c r="BC52" s="43">
        <v>2026</v>
      </c>
      <c r="BD52" s="56"/>
      <c r="BE52" s="20"/>
    </row>
    <row r="53" spans="1:57" ht="29.1" customHeight="1">
      <c r="A53" s="42">
        <v>46</v>
      </c>
      <c r="B53" s="42" t="s">
        <v>266</v>
      </c>
      <c r="C53" s="43"/>
      <c r="D53" s="61" t="s">
        <v>242</v>
      </c>
      <c r="E53" s="43" t="s">
        <v>74</v>
      </c>
      <c r="F53" s="44" t="s">
        <v>197</v>
      </c>
      <c r="G53" s="65" t="s">
        <v>247</v>
      </c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6"/>
      <c r="AN53" s="47">
        <f t="shared" si="0"/>
        <v>0</v>
      </c>
      <c r="AO53" s="47">
        <f t="shared" si="1"/>
        <v>0</v>
      </c>
      <c r="AP53" s="47">
        <f t="shared" si="2"/>
        <v>0</v>
      </c>
      <c r="AQ53" s="47">
        <f t="shared" si="3"/>
        <v>0</v>
      </c>
      <c r="AR53" s="47">
        <f t="shared" si="4"/>
        <v>0</v>
      </c>
      <c r="AS53" s="47">
        <f t="shared" si="5"/>
        <v>0</v>
      </c>
      <c r="AT53" s="47"/>
      <c r="AU53" s="48"/>
      <c r="AV53" s="52"/>
      <c r="AW53" s="52"/>
      <c r="AX53" s="50"/>
      <c r="AY53" s="50"/>
      <c r="AZ53" s="50"/>
      <c r="BA53" s="50">
        <v>-40000</v>
      </c>
      <c r="BB53" s="43">
        <v>8</v>
      </c>
      <c r="BC53" s="43">
        <v>2026</v>
      </c>
      <c r="BD53" s="43"/>
      <c r="BE53" s="20"/>
    </row>
    <row r="54" spans="1:57" ht="29.1" customHeight="1">
      <c r="A54" s="42">
        <v>47</v>
      </c>
      <c r="B54" s="42" t="s">
        <v>257</v>
      </c>
      <c r="C54" s="43"/>
      <c r="D54" s="61" t="s">
        <v>244</v>
      </c>
      <c r="E54" s="43" t="s">
        <v>95</v>
      </c>
      <c r="F54" s="44" t="s">
        <v>105</v>
      </c>
      <c r="G54" s="65" t="s">
        <v>250</v>
      </c>
      <c r="H54" s="45"/>
      <c r="I54" s="45"/>
      <c r="J54" s="45"/>
      <c r="K54" s="45">
        <v>2</v>
      </c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>
        <v>2</v>
      </c>
      <c r="AH54" s="45"/>
      <c r="AI54" s="45"/>
      <c r="AJ54" s="45">
        <v>2</v>
      </c>
      <c r="AK54" s="45"/>
      <c r="AL54" s="45">
        <v>2</v>
      </c>
      <c r="AM54" s="46"/>
      <c r="AN54" s="47">
        <f t="shared" si="0"/>
        <v>0</v>
      </c>
      <c r="AO54" s="47">
        <f t="shared" si="1"/>
        <v>0</v>
      </c>
      <c r="AP54" s="47">
        <f t="shared" si="2"/>
        <v>0</v>
      </c>
      <c r="AQ54" s="47">
        <f t="shared" si="3"/>
        <v>0</v>
      </c>
      <c r="AR54" s="47">
        <f t="shared" si="4"/>
        <v>0</v>
      </c>
      <c r="AS54" s="47">
        <f t="shared" si="5"/>
        <v>0</v>
      </c>
      <c r="AT54" s="47"/>
      <c r="AU54" s="48"/>
      <c r="AV54" s="50"/>
      <c r="AW54" s="50"/>
      <c r="AX54" s="50"/>
      <c r="AY54" s="50"/>
      <c r="AZ54" s="50"/>
      <c r="BA54" s="50">
        <v>-40000</v>
      </c>
      <c r="BB54" s="43">
        <v>8</v>
      </c>
      <c r="BC54" s="43">
        <v>2026</v>
      </c>
      <c r="BD54" s="43"/>
      <c r="BE54" s="20"/>
    </row>
    <row r="55" spans="1:57" ht="29.1" customHeight="1">
      <c r="A55" s="42">
        <v>48</v>
      </c>
      <c r="B55" s="42" t="s">
        <v>258</v>
      </c>
      <c r="C55" s="43"/>
      <c r="D55" s="61" t="s">
        <v>261</v>
      </c>
      <c r="E55" s="43" t="s">
        <v>95</v>
      </c>
      <c r="F55" s="44" t="s">
        <v>96</v>
      </c>
      <c r="G55" s="65" t="s">
        <v>264</v>
      </c>
      <c r="H55" s="45"/>
      <c r="I55" s="45"/>
      <c r="J55" s="45">
        <v>1</v>
      </c>
      <c r="K55" s="45">
        <v>1</v>
      </c>
      <c r="L55" s="45"/>
      <c r="M55" s="45"/>
      <c r="N55" s="45"/>
      <c r="O55" s="45"/>
      <c r="P55" s="45"/>
      <c r="Q55" s="45"/>
      <c r="R55" s="45"/>
      <c r="S55" s="45"/>
      <c r="T55" s="45"/>
      <c r="U55" s="45">
        <v>2</v>
      </c>
      <c r="V55" s="45">
        <v>1</v>
      </c>
      <c r="W55" s="45">
        <v>1</v>
      </c>
      <c r="X55" s="45"/>
      <c r="Y55" s="45"/>
      <c r="Z55" s="45"/>
      <c r="AA55" s="45"/>
      <c r="AB55" s="45">
        <v>2</v>
      </c>
      <c r="AC55" s="45">
        <v>1</v>
      </c>
      <c r="AD55" s="45">
        <v>1</v>
      </c>
      <c r="AE55" s="45"/>
      <c r="AF55" s="45"/>
      <c r="AG55" s="45"/>
      <c r="AH55" s="45"/>
      <c r="AI55" s="45">
        <v>2</v>
      </c>
      <c r="AJ55" s="45"/>
      <c r="AK55" s="45"/>
      <c r="AL55" s="45"/>
      <c r="AM55" s="46"/>
      <c r="AN55" s="47">
        <f t="shared" si="0"/>
        <v>0</v>
      </c>
      <c r="AO55" s="47">
        <f t="shared" si="1"/>
        <v>0</v>
      </c>
      <c r="AP55" s="47">
        <f t="shared" si="2"/>
        <v>0</v>
      </c>
      <c r="AQ55" s="47">
        <f t="shared" si="3"/>
        <v>0</v>
      </c>
      <c r="AR55" s="47">
        <f t="shared" si="4"/>
        <v>0</v>
      </c>
      <c r="AS55" s="47">
        <f t="shared" si="5"/>
        <v>0</v>
      </c>
      <c r="AT55" s="47"/>
      <c r="AU55" s="48"/>
      <c r="AV55" s="50"/>
      <c r="AW55" s="50"/>
      <c r="AX55" s="50"/>
      <c r="AY55" s="50"/>
      <c r="AZ55" s="50"/>
      <c r="BA55" s="50">
        <v>-40000</v>
      </c>
      <c r="BB55" s="43">
        <v>8</v>
      </c>
      <c r="BC55" s="43">
        <v>2026</v>
      </c>
      <c r="BD55" s="43"/>
      <c r="BE55" s="20"/>
    </row>
    <row r="56" spans="1:57" ht="29.1" customHeight="1">
      <c r="A56" s="42">
        <v>49</v>
      </c>
      <c r="B56" s="42" t="s">
        <v>260</v>
      </c>
      <c r="C56" s="43"/>
      <c r="D56" s="61" t="s">
        <v>263</v>
      </c>
      <c r="E56" s="43" t="s">
        <v>95</v>
      </c>
      <c r="F56" s="44" t="s">
        <v>105</v>
      </c>
      <c r="G56" s="65" t="s">
        <v>265</v>
      </c>
      <c r="H56" s="45"/>
      <c r="I56" s="45"/>
      <c r="J56" s="45"/>
      <c r="K56" s="45">
        <v>2</v>
      </c>
      <c r="L56" s="45"/>
      <c r="M56" s="45"/>
      <c r="N56" s="45"/>
      <c r="O56" s="45"/>
      <c r="P56" s="45"/>
      <c r="Q56" s="45"/>
      <c r="R56" s="45"/>
      <c r="S56" s="45"/>
      <c r="T56" s="45"/>
      <c r="U56" s="45">
        <v>2</v>
      </c>
      <c r="V56" s="45">
        <v>2</v>
      </c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6"/>
      <c r="AN56" s="47">
        <f t="shared" si="0"/>
        <v>0</v>
      </c>
      <c r="AO56" s="47">
        <f t="shared" si="1"/>
        <v>0</v>
      </c>
      <c r="AP56" s="47">
        <f t="shared" si="2"/>
        <v>0</v>
      </c>
      <c r="AQ56" s="47">
        <f t="shared" si="3"/>
        <v>0</v>
      </c>
      <c r="AR56" s="47">
        <f t="shared" si="4"/>
        <v>0</v>
      </c>
      <c r="AS56" s="47">
        <f t="shared" si="5"/>
        <v>0</v>
      </c>
      <c r="AT56" s="47"/>
      <c r="AU56" s="48"/>
      <c r="AV56" s="50"/>
      <c r="AW56" s="50"/>
      <c r="AX56" s="50"/>
      <c r="AY56" s="50"/>
      <c r="AZ56" s="50"/>
      <c r="BA56" s="50">
        <v>-40000</v>
      </c>
      <c r="BB56" s="43">
        <v>8</v>
      </c>
      <c r="BC56" s="43">
        <v>2026</v>
      </c>
      <c r="BD56" s="43"/>
      <c r="BE56" s="20"/>
    </row>
    <row r="57" spans="1:57" ht="29.1" customHeight="1">
      <c r="A57" s="42">
        <v>50</v>
      </c>
      <c r="B57" s="42" t="s">
        <v>274</v>
      </c>
      <c r="C57" s="43"/>
      <c r="D57" s="61" t="s">
        <v>279</v>
      </c>
      <c r="E57" s="43" t="s">
        <v>74</v>
      </c>
      <c r="F57" s="44" t="s">
        <v>197</v>
      </c>
      <c r="G57" s="65" t="s">
        <v>249</v>
      </c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6"/>
      <c r="AN57" s="47">
        <f t="shared" si="0"/>
        <v>0</v>
      </c>
      <c r="AO57" s="47">
        <f t="shared" si="1"/>
        <v>0</v>
      </c>
      <c r="AP57" s="47">
        <f t="shared" si="2"/>
        <v>0</v>
      </c>
      <c r="AQ57" s="47">
        <f t="shared" si="3"/>
        <v>0</v>
      </c>
      <c r="AR57" s="47">
        <f t="shared" si="4"/>
        <v>0</v>
      </c>
      <c r="AS57" s="47">
        <f t="shared" si="5"/>
        <v>0</v>
      </c>
      <c r="AT57" s="47"/>
      <c r="AU57" s="48"/>
      <c r="AV57" s="50"/>
      <c r="AW57" s="50"/>
      <c r="AX57" s="50"/>
      <c r="AY57" s="50"/>
      <c r="AZ57" s="50"/>
      <c r="BA57" s="50">
        <v>-40000</v>
      </c>
      <c r="BB57" s="43">
        <v>8</v>
      </c>
      <c r="BC57" s="43">
        <v>2026</v>
      </c>
      <c r="BD57" s="43"/>
      <c r="BE57" s="20"/>
    </row>
    <row r="58" spans="1:57" ht="29.1" customHeight="1">
      <c r="A58" s="42">
        <v>51</v>
      </c>
      <c r="B58" s="42" t="s">
        <v>275</v>
      </c>
      <c r="C58" s="43"/>
      <c r="D58" s="61" t="s">
        <v>280</v>
      </c>
      <c r="E58" s="43" t="s">
        <v>74</v>
      </c>
      <c r="F58" s="44" t="s">
        <v>197</v>
      </c>
      <c r="G58" s="65" t="s">
        <v>281</v>
      </c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6"/>
      <c r="AN58" s="47">
        <f t="shared" si="0"/>
        <v>0</v>
      </c>
      <c r="AO58" s="47">
        <f t="shared" si="1"/>
        <v>0</v>
      </c>
      <c r="AP58" s="47">
        <f t="shared" si="2"/>
        <v>0</v>
      </c>
      <c r="AQ58" s="47">
        <f t="shared" si="3"/>
        <v>0</v>
      </c>
      <c r="AR58" s="47">
        <f t="shared" si="4"/>
        <v>0</v>
      </c>
      <c r="AS58" s="47">
        <f t="shared" si="5"/>
        <v>0</v>
      </c>
      <c r="AT58" s="47"/>
      <c r="AU58" s="48"/>
      <c r="AV58" s="50"/>
      <c r="AW58" s="50"/>
      <c r="AX58" s="50"/>
      <c r="AY58" s="50"/>
      <c r="AZ58" s="50"/>
      <c r="BA58" s="50">
        <v>-40000</v>
      </c>
      <c r="BB58" s="43">
        <v>8</v>
      </c>
      <c r="BC58" s="43">
        <v>2026</v>
      </c>
      <c r="BD58" s="43"/>
      <c r="BE58" s="20"/>
    </row>
    <row r="59" spans="1:57" ht="29.1" customHeight="1">
      <c r="A59" s="42">
        <v>52</v>
      </c>
      <c r="B59" s="42" t="s">
        <v>276</v>
      </c>
      <c r="C59" s="43"/>
      <c r="D59" s="61" t="s">
        <v>282</v>
      </c>
      <c r="E59" s="43" t="s">
        <v>74</v>
      </c>
      <c r="F59" s="44" t="s">
        <v>197</v>
      </c>
      <c r="G59" s="65" t="s">
        <v>281</v>
      </c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6"/>
      <c r="AN59" s="47">
        <f t="shared" si="0"/>
        <v>0</v>
      </c>
      <c r="AO59" s="47">
        <f t="shared" si="1"/>
        <v>0</v>
      </c>
      <c r="AP59" s="47">
        <f t="shared" si="2"/>
        <v>0</v>
      </c>
      <c r="AQ59" s="47">
        <f t="shared" si="3"/>
        <v>0</v>
      </c>
      <c r="AR59" s="47">
        <f t="shared" si="4"/>
        <v>0</v>
      </c>
      <c r="AS59" s="47">
        <f t="shared" si="5"/>
        <v>0</v>
      </c>
      <c r="AT59" s="47"/>
      <c r="AU59" s="48"/>
      <c r="AV59" s="50"/>
      <c r="AW59" s="50"/>
      <c r="AX59" s="50"/>
      <c r="AY59" s="50"/>
      <c r="AZ59" s="50"/>
      <c r="BA59" s="50">
        <v>-40000</v>
      </c>
      <c r="BB59" s="43">
        <v>8</v>
      </c>
      <c r="BC59" s="43">
        <v>2026</v>
      </c>
      <c r="BD59" s="43"/>
      <c r="BE59" s="20"/>
    </row>
    <row r="60" spans="1:57" ht="29.1" customHeight="1">
      <c r="A60" s="42">
        <v>53</v>
      </c>
      <c r="B60" s="42" t="s">
        <v>298</v>
      </c>
      <c r="C60" s="56"/>
      <c r="D60" s="66" t="s">
        <v>286</v>
      </c>
      <c r="E60" s="56" t="s">
        <v>74</v>
      </c>
      <c r="F60" s="66" t="s">
        <v>197</v>
      </c>
      <c r="G60" s="67" t="s">
        <v>291</v>
      </c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>
        <v>2</v>
      </c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6"/>
      <c r="AN60" s="47">
        <f t="shared" si="0"/>
        <v>0</v>
      </c>
      <c r="AO60" s="47">
        <f t="shared" si="1"/>
        <v>0</v>
      </c>
      <c r="AP60" s="47">
        <f t="shared" si="2"/>
        <v>0</v>
      </c>
      <c r="AQ60" s="47">
        <f t="shared" si="3"/>
        <v>0</v>
      </c>
      <c r="AR60" s="47">
        <f t="shared" si="4"/>
        <v>0</v>
      </c>
      <c r="AS60" s="47">
        <f t="shared" si="5"/>
        <v>0</v>
      </c>
      <c r="AT60" s="47"/>
      <c r="AU60" s="48"/>
      <c r="AV60" s="52"/>
      <c r="AW60" s="52"/>
      <c r="AX60" s="52"/>
      <c r="AY60" s="52"/>
      <c r="AZ60" s="50"/>
      <c r="BA60" s="52">
        <v>-40000</v>
      </c>
      <c r="BB60" s="43">
        <v>8</v>
      </c>
      <c r="BC60" s="43">
        <v>2026</v>
      </c>
      <c r="BD60" s="56"/>
      <c r="BE60" s="20"/>
    </row>
    <row r="61" spans="1:57" ht="29.1" customHeight="1">
      <c r="A61" s="42">
        <v>54</v>
      </c>
      <c r="B61" s="42" t="s">
        <v>294</v>
      </c>
      <c r="C61" s="56"/>
      <c r="D61" s="66" t="s">
        <v>288</v>
      </c>
      <c r="E61" s="56" t="s">
        <v>74</v>
      </c>
      <c r="F61" s="66" t="s">
        <v>197</v>
      </c>
      <c r="G61" s="67" t="s">
        <v>297</v>
      </c>
      <c r="H61" s="45"/>
      <c r="I61" s="45">
        <v>2</v>
      </c>
      <c r="J61" s="45">
        <v>2</v>
      </c>
      <c r="K61" s="45"/>
      <c r="L61" s="45"/>
      <c r="M61" s="45"/>
      <c r="N61" s="45"/>
      <c r="O61" s="45">
        <v>2</v>
      </c>
      <c r="P61" s="45"/>
      <c r="Q61" s="45">
        <v>2</v>
      </c>
      <c r="R61" s="45"/>
      <c r="S61" s="45">
        <v>2</v>
      </c>
      <c r="T61" s="45">
        <v>8</v>
      </c>
      <c r="U61" s="45"/>
      <c r="V61" s="45">
        <v>2</v>
      </c>
      <c r="W61" s="45"/>
      <c r="X61" s="45">
        <v>2</v>
      </c>
      <c r="Y61" s="45"/>
      <c r="Z61" s="45"/>
      <c r="AA61" s="45"/>
      <c r="AB61" s="45"/>
      <c r="AC61" s="45"/>
      <c r="AD61" s="45"/>
      <c r="AE61" s="45">
        <v>2</v>
      </c>
      <c r="AF61" s="45"/>
      <c r="AG61" s="45"/>
      <c r="AH61" s="45"/>
      <c r="AI61" s="45"/>
      <c r="AJ61" s="45"/>
      <c r="AK61" s="45"/>
      <c r="AL61" s="45"/>
      <c r="AM61" s="46"/>
      <c r="AN61" s="47">
        <f t="shared" si="0"/>
        <v>0</v>
      </c>
      <c r="AO61" s="47">
        <f t="shared" si="1"/>
        <v>0</v>
      </c>
      <c r="AP61" s="47">
        <f t="shared" si="2"/>
        <v>0</v>
      </c>
      <c r="AQ61" s="47">
        <f t="shared" si="3"/>
        <v>0</v>
      </c>
      <c r="AR61" s="47">
        <f t="shared" si="4"/>
        <v>0</v>
      </c>
      <c r="AS61" s="47">
        <f t="shared" si="5"/>
        <v>0</v>
      </c>
      <c r="AT61" s="47"/>
      <c r="AU61" s="48"/>
      <c r="AV61" s="52"/>
      <c r="AW61" s="52"/>
      <c r="AX61" s="52"/>
      <c r="AY61" s="52"/>
      <c r="AZ61" s="50"/>
      <c r="BA61" s="52">
        <v>-40000</v>
      </c>
      <c r="BB61" s="43">
        <v>8</v>
      </c>
      <c r="BC61" s="43">
        <v>2026</v>
      </c>
      <c r="BD61" s="56"/>
      <c r="BE61" s="20"/>
    </row>
    <row r="62" spans="1:57" ht="29.1" customHeight="1">
      <c r="A62" s="42">
        <v>55</v>
      </c>
      <c r="B62" s="42" t="s">
        <v>295</v>
      </c>
      <c r="C62" s="56"/>
      <c r="D62" s="66" t="s">
        <v>290</v>
      </c>
      <c r="E62" s="56" t="s">
        <v>74</v>
      </c>
      <c r="F62" s="66" t="s">
        <v>197</v>
      </c>
      <c r="G62" s="67" t="s">
        <v>297</v>
      </c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6"/>
      <c r="AN62" s="47">
        <f t="shared" si="0"/>
        <v>0</v>
      </c>
      <c r="AO62" s="47">
        <f t="shared" si="1"/>
        <v>0</v>
      </c>
      <c r="AP62" s="47">
        <f t="shared" si="2"/>
        <v>0</v>
      </c>
      <c r="AQ62" s="47">
        <f t="shared" si="3"/>
        <v>0</v>
      </c>
      <c r="AR62" s="47">
        <f t="shared" si="4"/>
        <v>0</v>
      </c>
      <c r="AS62" s="47">
        <f t="shared" si="5"/>
        <v>0</v>
      </c>
      <c r="AT62" s="47"/>
      <c r="AU62" s="48"/>
      <c r="AV62" s="52"/>
      <c r="AW62" s="52"/>
      <c r="AX62" s="52"/>
      <c r="AY62" s="52"/>
      <c r="AZ62" s="50"/>
      <c r="BA62" s="50">
        <v>-40000</v>
      </c>
      <c r="BB62" s="43">
        <v>8</v>
      </c>
      <c r="BC62" s="43">
        <v>2026</v>
      </c>
      <c r="BD62" s="56"/>
      <c r="BE62" s="20"/>
    </row>
    <row r="63" spans="1:57" ht="29.1" customHeight="1">
      <c r="A63" s="42">
        <v>56</v>
      </c>
      <c r="B63" s="42" t="s">
        <v>296</v>
      </c>
      <c r="C63" s="56"/>
      <c r="D63" s="66" t="s">
        <v>289</v>
      </c>
      <c r="E63" s="56" t="s">
        <v>74</v>
      </c>
      <c r="F63" s="66" t="s">
        <v>197</v>
      </c>
      <c r="G63" s="67" t="s">
        <v>297</v>
      </c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>
        <v>2</v>
      </c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6"/>
      <c r="AN63" s="47">
        <f t="shared" si="0"/>
        <v>0</v>
      </c>
      <c r="AO63" s="47">
        <f t="shared" si="1"/>
        <v>0</v>
      </c>
      <c r="AP63" s="47">
        <f t="shared" si="2"/>
        <v>0</v>
      </c>
      <c r="AQ63" s="47">
        <f t="shared" si="3"/>
        <v>0</v>
      </c>
      <c r="AR63" s="47">
        <f t="shared" si="4"/>
        <v>0</v>
      </c>
      <c r="AS63" s="47">
        <f t="shared" si="5"/>
        <v>0</v>
      </c>
      <c r="AT63" s="47"/>
      <c r="AU63" s="48"/>
      <c r="AV63" s="52"/>
      <c r="AW63" s="52"/>
      <c r="AX63" s="52"/>
      <c r="AY63" s="52"/>
      <c r="AZ63" s="50"/>
      <c r="BA63" s="52">
        <v>-40000</v>
      </c>
      <c r="BB63" s="43">
        <v>8</v>
      </c>
      <c r="BC63" s="43">
        <v>2026</v>
      </c>
      <c r="BD63" s="56"/>
      <c r="BE63" s="20"/>
    </row>
    <row r="64" spans="1:57" ht="29.1" customHeight="1">
      <c r="A64" s="42">
        <v>57</v>
      </c>
      <c r="B64" s="42" t="s">
        <v>313</v>
      </c>
      <c r="C64" s="56"/>
      <c r="D64" s="66" t="s">
        <v>314</v>
      </c>
      <c r="E64" s="56" t="s">
        <v>95</v>
      </c>
      <c r="F64" s="66" t="s">
        <v>105</v>
      </c>
      <c r="G64" s="67" t="s">
        <v>315</v>
      </c>
      <c r="H64" s="45"/>
      <c r="I64" s="45">
        <v>2</v>
      </c>
      <c r="J64" s="45">
        <v>2</v>
      </c>
      <c r="K64" s="45">
        <v>2</v>
      </c>
      <c r="L64" s="45"/>
      <c r="M64" s="45"/>
      <c r="N64" s="45"/>
      <c r="O64" s="45"/>
      <c r="P64" s="45"/>
      <c r="Q64" s="45"/>
      <c r="R64" s="45"/>
      <c r="S64" s="45"/>
      <c r="T64" s="45"/>
      <c r="U64" s="45">
        <v>2</v>
      </c>
      <c r="V64" s="45">
        <v>2</v>
      </c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6"/>
      <c r="AN64" s="47">
        <f t="shared" ref="AN64:AN83" si="6">COUNTIF(H64:AL64,"W")+COUNTIF(H64:AL64,"W/2")*0.5+COUNTIF(H64:AL64,"BT")+COUNTIF(H64:AL64,"N")</f>
        <v>0</v>
      </c>
      <c r="AO64" s="47">
        <f t="shared" ref="AO64:AO83" si="7">COUNTIF(H64:AL64,"AL")</f>
        <v>0</v>
      </c>
      <c r="AP64" s="47">
        <f t="shared" ref="AP64:AP83" si="8">COUNTIF(H64:AL64,"UL")</f>
        <v>0</v>
      </c>
      <c r="AQ64" s="47">
        <f t="shared" ref="AQ64:AQ83" si="9">COUNTIF(H64:AL64,"PH")</f>
        <v>0</v>
      </c>
      <c r="AR64" s="47">
        <f t="shared" ref="AR64:AR83" si="10">COUNTIF(H64:AL64,"SL")</f>
        <v>0</v>
      </c>
      <c r="AS64" s="47">
        <f t="shared" ref="AS64:AS83" si="11">COUNTIF(H64:AL64,"PL")</f>
        <v>0</v>
      </c>
      <c r="AT64" s="47"/>
      <c r="AU64" s="48"/>
      <c r="AV64" s="52"/>
      <c r="AW64" s="52"/>
      <c r="AX64" s="52"/>
      <c r="AY64" s="52"/>
      <c r="AZ64" s="50"/>
      <c r="BA64" s="52">
        <v>-40000</v>
      </c>
      <c r="BB64" s="43">
        <v>8</v>
      </c>
      <c r="BC64" s="43">
        <v>2026</v>
      </c>
      <c r="BD64" s="56"/>
      <c r="BE64" s="20"/>
    </row>
    <row r="65" spans="1:57" ht="29.1" customHeight="1">
      <c r="A65" s="42">
        <v>58</v>
      </c>
      <c r="B65" s="42" t="s">
        <v>316</v>
      </c>
      <c r="C65" s="56"/>
      <c r="D65" s="66" t="s">
        <v>317</v>
      </c>
      <c r="E65" s="56" t="s">
        <v>78</v>
      </c>
      <c r="F65" s="66" t="s">
        <v>318</v>
      </c>
      <c r="G65" s="67" t="s">
        <v>319</v>
      </c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6"/>
      <c r="AN65" s="47">
        <f t="shared" si="6"/>
        <v>0</v>
      </c>
      <c r="AO65" s="47">
        <f t="shared" si="7"/>
        <v>0</v>
      </c>
      <c r="AP65" s="47">
        <f t="shared" si="8"/>
        <v>0</v>
      </c>
      <c r="AQ65" s="47">
        <f t="shared" si="9"/>
        <v>0</v>
      </c>
      <c r="AR65" s="47">
        <f t="shared" si="10"/>
        <v>0</v>
      </c>
      <c r="AS65" s="47">
        <f t="shared" si="11"/>
        <v>0</v>
      </c>
      <c r="AT65" s="47"/>
      <c r="AU65" s="48"/>
      <c r="AV65" s="52"/>
      <c r="AW65" s="52"/>
      <c r="AX65" s="52"/>
      <c r="AY65" s="52"/>
      <c r="AZ65" s="49"/>
      <c r="BA65" s="52">
        <v>-40000</v>
      </c>
      <c r="BB65" s="43">
        <v>8</v>
      </c>
      <c r="BC65" s="43">
        <v>2026</v>
      </c>
      <c r="BD65" s="56"/>
      <c r="BE65" s="20"/>
    </row>
    <row r="66" spans="1:57" ht="29.1" customHeight="1">
      <c r="A66" s="42">
        <v>59</v>
      </c>
      <c r="B66" s="42" t="s">
        <v>322</v>
      </c>
      <c r="C66" s="56"/>
      <c r="D66" s="66" t="s">
        <v>323</v>
      </c>
      <c r="E66" s="56" t="s">
        <v>78</v>
      </c>
      <c r="F66" s="66" t="s">
        <v>324</v>
      </c>
      <c r="G66" s="67" t="s">
        <v>325</v>
      </c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6"/>
      <c r="AN66" s="47">
        <f t="shared" si="6"/>
        <v>0</v>
      </c>
      <c r="AO66" s="47">
        <f t="shared" si="7"/>
        <v>0</v>
      </c>
      <c r="AP66" s="47">
        <f t="shared" si="8"/>
        <v>0</v>
      </c>
      <c r="AQ66" s="47">
        <f t="shared" si="9"/>
        <v>0</v>
      </c>
      <c r="AR66" s="47">
        <f t="shared" si="10"/>
        <v>0</v>
      </c>
      <c r="AS66" s="47">
        <f t="shared" si="11"/>
        <v>0</v>
      </c>
      <c r="AT66" s="47"/>
      <c r="AU66" s="48"/>
      <c r="AV66" s="52"/>
      <c r="AW66" s="52"/>
      <c r="AX66" s="52"/>
      <c r="AY66" s="52"/>
      <c r="AZ66" s="49"/>
      <c r="BA66" s="52">
        <v>-40000</v>
      </c>
      <c r="BB66" s="43">
        <v>8</v>
      </c>
      <c r="BC66" s="43">
        <v>2026</v>
      </c>
      <c r="BD66" s="56"/>
      <c r="BE66" s="20"/>
    </row>
    <row r="67" spans="1:57" ht="29.1" customHeight="1">
      <c r="A67" s="42">
        <v>60</v>
      </c>
      <c r="B67" s="42" t="s">
        <v>326</v>
      </c>
      <c r="C67" s="56"/>
      <c r="D67" s="66" t="s">
        <v>327</v>
      </c>
      <c r="E67" s="56" t="s">
        <v>74</v>
      </c>
      <c r="F67" s="66" t="s">
        <v>197</v>
      </c>
      <c r="G67" s="67" t="s">
        <v>328</v>
      </c>
      <c r="H67" s="45"/>
      <c r="I67" s="45">
        <v>2</v>
      </c>
      <c r="J67" s="45"/>
      <c r="K67" s="45"/>
      <c r="L67" s="45"/>
      <c r="M67" s="45"/>
      <c r="N67" s="45">
        <v>2</v>
      </c>
      <c r="O67" s="45"/>
      <c r="P67" s="45">
        <v>2</v>
      </c>
      <c r="Q67" s="45">
        <v>2</v>
      </c>
      <c r="R67" s="45"/>
      <c r="S67" s="45">
        <v>2</v>
      </c>
      <c r="T67" s="45"/>
      <c r="U67" s="45"/>
      <c r="V67" s="45">
        <v>2</v>
      </c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6"/>
      <c r="AN67" s="47">
        <f t="shared" si="6"/>
        <v>0</v>
      </c>
      <c r="AO67" s="47">
        <f t="shared" si="7"/>
        <v>0</v>
      </c>
      <c r="AP67" s="47">
        <f t="shared" si="8"/>
        <v>0</v>
      </c>
      <c r="AQ67" s="47">
        <f t="shared" si="9"/>
        <v>0</v>
      </c>
      <c r="AR67" s="47">
        <f t="shared" si="10"/>
        <v>0</v>
      </c>
      <c r="AS67" s="47">
        <f t="shared" si="11"/>
        <v>0</v>
      </c>
      <c r="AT67" s="47"/>
      <c r="AU67" s="48"/>
      <c r="AV67" s="52"/>
      <c r="AW67" s="52"/>
      <c r="AX67" s="52"/>
      <c r="AY67" s="52"/>
      <c r="AZ67" s="49"/>
      <c r="BA67" s="52">
        <v>-40000</v>
      </c>
      <c r="BB67" s="43">
        <v>8</v>
      </c>
      <c r="BC67" s="43">
        <v>2026</v>
      </c>
      <c r="BD67" s="56"/>
      <c r="BE67" s="20"/>
    </row>
    <row r="68" spans="1:57" ht="29.1" customHeight="1">
      <c r="A68" s="42">
        <v>61</v>
      </c>
      <c r="B68" s="42" t="s">
        <v>355</v>
      </c>
      <c r="C68" s="56"/>
      <c r="D68" s="66" t="s">
        <v>335</v>
      </c>
      <c r="E68" s="56" t="s">
        <v>74</v>
      </c>
      <c r="F68" s="66" t="s">
        <v>197</v>
      </c>
      <c r="G68" s="67" t="s">
        <v>353</v>
      </c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>
        <v>2</v>
      </c>
      <c r="S68" s="45"/>
      <c r="T68" s="45">
        <v>8</v>
      </c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>
        <v>2</v>
      </c>
      <c r="AF68" s="45"/>
      <c r="AG68" s="45"/>
      <c r="AH68" s="45"/>
      <c r="AI68" s="45"/>
      <c r="AJ68" s="45"/>
      <c r="AK68" s="45"/>
      <c r="AL68" s="45"/>
      <c r="AM68" s="46"/>
      <c r="AN68" s="47">
        <f t="shared" si="6"/>
        <v>0</v>
      </c>
      <c r="AO68" s="47">
        <f t="shared" si="7"/>
        <v>0</v>
      </c>
      <c r="AP68" s="47">
        <f t="shared" si="8"/>
        <v>0</v>
      </c>
      <c r="AQ68" s="47">
        <f t="shared" si="9"/>
        <v>0</v>
      </c>
      <c r="AR68" s="47">
        <f t="shared" si="10"/>
        <v>0</v>
      </c>
      <c r="AS68" s="47">
        <f t="shared" si="11"/>
        <v>0</v>
      </c>
      <c r="AT68" s="47"/>
      <c r="AU68" s="48"/>
      <c r="AV68" s="52"/>
      <c r="AW68" s="52"/>
      <c r="AX68" s="52"/>
      <c r="AY68" s="52"/>
      <c r="AZ68" s="49"/>
      <c r="BA68" s="52">
        <v>-40000</v>
      </c>
      <c r="BB68" s="43">
        <v>8</v>
      </c>
      <c r="BC68" s="43">
        <v>2026</v>
      </c>
      <c r="BD68" s="56"/>
      <c r="BE68" s="20"/>
    </row>
    <row r="69" spans="1:57" ht="29.1" customHeight="1">
      <c r="A69" s="42">
        <v>62</v>
      </c>
      <c r="B69" s="42" t="s">
        <v>356</v>
      </c>
      <c r="C69" s="56"/>
      <c r="D69" s="66" t="s">
        <v>336</v>
      </c>
      <c r="E69" s="56" t="s">
        <v>77</v>
      </c>
      <c r="F69" s="66" t="s">
        <v>93</v>
      </c>
      <c r="G69" s="67" t="s">
        <v>347</v>
      </c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>
        <v>2</v>
      </c>
      <c r="Z69" s="45"/>
      <c r="AA69" s="45"/>
      <c r="AB69" s="45"/>
      <c r="AC69" s="45"/>
      <c r="AD69" s="45"/>
      <c r="AE69" s="45">
        <v>1</v>
      </c>
      <c r="AF69" s="45"/>
      <c r="AG69" s="45"/>
      <c r="AH69" s="45"/>
      <c r="AI69" s="45"/>
      <c r="AJ69" s="45"/>
      <c r="AK69" s="45"/>
      <c r="AL69" s="45"/>
      <c r="AM69" s="46"/>
      <c r="AN69" s="47">
        <f t="shared" si="6"/>
        <v>0</v>
      </c>
      <c r="AO69" s="47">
        <f t="shared" si="7"/>
        <v>0</v>
      </c>
      <c r="AP69" s="47">
        <f t="shared" si="8"/>
        <v>0</v>
      </c>
      <c r="AQ69" s="47">
        <f t="shared" si="9"/>
        <v>0</v>
      </c>
      <c r="AR69" s="47">
        <f t="shared" si="10"/>
        <v>0</v>
      </c>
      <c r="AS69" s="47">
        <f t="shared" si="11"/>
        <v>0</v>
      </c>
      <c r="AT69" s="47"/>
      <c r="AU69" s="48"/>
      <c r="AV69" s="52"/>
      <c r="AW69" s="52"/>
      <c r="AX69" s="52"/>
      <c r="AY69" s="52"/>
      <c r="AZ69" s="49"/>
      <c r="BA69" s="52">
        <v>-40000</v>
      </c>
      <c r="BB69" s="43">
        <v>8</v>
      </c>
      <c r="BC69" s="43">
        <v>2026</v>
      </c>
      <c r="BD69" s="56"/>
      <c r="BE69" s="20"/>
    </row>
    <row r="70" spans="1:57" ht="29.1" customHeight="1">
      <c r="A70" s="42">
        <v>63</v>
      </c>
      <c r="B70" s="42" t="s">
        <v>358</v>
      </c>
      <c r="C70" s="56"/>
      <c r="D70" s="66" t="s">
        <v>338</v>
      </c>
      <c r="E70" s="56" t="s">
        <v>74</v>
      </c>
      <c r="F70" s="66" t="s">
        <v>197</v>
      </c>
      <c r="G70" s="67" t="s">
        <v>348</v>
      </c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6"/>
      <c r="AN70" s="47">
        <f t="shared" si="6"/>
        <v>0</v>
      </c>
      <c r="AO70" s="47">
        <f t="shared" si="7"/>
        <v>0</v>
      </c>
      <c r="AP70" s="47">
        <f t="shared" si="8"/>
        <v>0</v>
      </c>
      <c r="AQ70" s="47">
        <f t="shared" si="9"/>
        <v>0</v>
      </c>
      <c r="AR70" s="47">
        <f t="shared" si="10"/>
        <v>0</v>
      </c>
      <c r="AS70" s="47">
        <f t="shared" si="11"/>
        <v>0</v>
      </c>
      <c r="AT70" s="47"/>
      <c r="AU70" s="48"/>
      <c r="AV70" s="52"/>
      <c r="AW70" s="52"/>
      <c r="AX70" s="52"/>
      <c r="AY70" s="52"/>
      <c r="AZ70" s="49"/>
      <c r="BA70" s="52">
        <v>-40000</v>
      </c>
      <c r="BB70" s="43">
        <v>8</v>
      </c>
      <c r="BC70" s="43">
        <v>2026</v>
      </c>
      <c r="BD70" s="56"/>
      <c r="BE70" s="20"/>
    </row>
    <row r="71" spans="1:57" ht="29.1" customHeight="1">
      <c r="A71" s="42">
        <v>64</v>
      </c>
      <c r="B71" s="42" t="s">
        <v>359</v>
      </c>
      <c r="C71" s="56"/>
      <c r="D71" s="66" t="s">
        <v>339</v>
      </c>
      <c r="E71" s="56" t="s">
        <v>74</v>
      </c>
      <c r="F71" s="66" t="s">
        <v>197</v>
      </c>
      <c r="G71" s="67" t="s">
        <v>349</v>
      </c>
      <c r="H71" s="45"/>
      <c r="I71" s="45"/>
      <c r="J71" s="45"/>
      <c r="K71" s="45"/>
      <c r="L71" s="45"/>
      <c r="M71" s="45"/>
      <c r="N71" s="45"/>
      <c r="O71" s="45">
        <v>2</v>
      </c>
      <c r="P71" s="45"/>
      <c r="Q71" s="45">
        <v>2</v>
      </c>
      <c r="R71" s="45"/>
      <c r="S71" s="45">
        <v>2</v>
      </c>
      <c r="T71" s="45"/>
      <c r="U71" s="45">
        <v>2</v>
      </c>
      <c r="V71" s="45"/>
      <c r="W71" s="45">
        <v>2</v>
      </c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6"/>
      <c r="AN71" s="47">
        <f t="shared" si="6"/>
        <v>0</v>
      </c>
      <c r="AO71" s="47">
        <f t="shared" si="7"/>
        <v>0</v>
      </c>
      <c r="AP71" s="47">
        <f t="shared" si="8"/>
        <v>0</v>
      </c>
      <c r="AQ71" s="47">
        <f t="shared" si="9"/>
        <v>0</v>
      </c>
      <c r="AR71" s="47">
        <f t="shared" si="10"/>
        <v>0</v>
      </c>
      <c r="AS71" s="47">
        <f t="shared" si="11"/>
        <v>0</v>
      </c>
      <c r="AT71" s="47"/>
      <c r="AU71" s="48"/>
      <c r="AV71" s="52"/>
      <c r="AW71" s="52"/>
      <c r="AX71" s="52"/>
      <c r="AY71" s="52"/>
      <c r="AZ71" s="49"/>
      <c r="BA71" s="52">
        <v>-40000</v>
      </c>
      <c r="BB71" s="43">
        <v>8</v>
      </c>
      <c r="BC71" s="43">
        <v>2026</v>
      </c>
      <c r="BD71" s="56"/>
      <c r="BE71" s="20"/>
    </row>
    <row r="72" spans="1:57" ht="29.1" customHeight="1">
      <c r="A72" s="42">
        <v>65</v>
      </c>
      <c r="B72" s="42" t="s">
        <v>361</v>
      </c>
      <c r="C72" s="56"/>
      <c r="D72" s="66" t="s">
        <v>341</v>
      </c>
      <c r="E72" s="56" t="s">
        <v>74</v>
      </c>
      <c r="F72" s="66" t="s">
        <v>197</v>
      </c>
      <c r="G72" s="67" t="s">
        <v>349</v>
      </c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>
        <v>3</v>
      </c>
      <c r="Y72" s="45">
        <v>2</v>
      </c>
      <c r="Z72" s="45"/>
      <c r="AA72" s="45"/>
      <c r="AB72" s="45"/>
      <c r="AC72" s="45"/>
      <c r="AD72" s="45"/>
      <c r="AE72" s="45">
        <v>2</v>
      </c>
      <c r="AF72" s="45"/>
      <c r="AG72" s="45"/>
      <c r="AH72" s="45"/>
      <c r="AI72" s="45"/>
      <c r="AJ72" s="45"/>
      <c r="AK72" s="45"/>
      <c r="AL72" s="45"/>
      <c r="AM72" s="46"/>
      <c r="AN72" s="47">
        <f t="shared" si="6"/>
        <v>0</v>
      </c>
      <c r="AO72" s="47">
        <f t="shared" si="7"/>
        <v>0</v>
      </c>
      <c r="AP72" s="47">
        <f t="shared" si="8"/>
        <v>0</v>
      </c>
      <c r="AQ72" s="47">
        <f t="shared" si="9"/>
        <v>0</v>
      </c>
      <c r="AR72" s="47">
        <f t="shared" si="10"/>
        <v>0</v>
      </c>
      <c r="AS72" s="47">
        <f t="shared" si="11"/>
        <v>0</v>
      </c>
      <c r="AT72" s="47"/>
      <c r="AU72" s="48"/>
      <c r="AV72" s="52"/>
      <c r="AW72" s="52"/>
      <c r="AX72" s="52"/>
      <c r="AY72" s="52"/>
      <c r="AZ72" s="49"/>
      <c r="BA72" s="52">
        <v>-40000</v>
      </c>
      <c r="BB72" s="43">
        <v>8</v>
      </c>
      <c r="BC72" s="43">
        <v>2026</v>
      </c>
      <c r="BD72" s="56"/>
      <c r="BE72" s="20"/>
    </row>
    <row r="73" spans="1:57" ht="29.1" customHeight="1">
      <c r="A73" s="42">
        <v>66</v>
      </c>
      <c r="B73" s="42" t="s">
        <v>363</v>
      </c>
      <c r="C73" s="56"/>
      <c r="D73" s="66" t="s">
        <v>243</v>
      </c>
      <c r="E73" s="56" t="s">
        <v>74</v>
      </c>
      <c r="F73" s="66" t="s">
        <v>197</v>
      </c>
      <c r="G73" s="67" t="s">
        <v>349</v>
      </c>
      <c r="H73" s="45"/>
      <c r="I73" s="45">
        <v>1.5</v>
      </c>
      <c r="J73" s="45"/>
      <c r="K73" s="45"/>
      <c r="L73" s="45">
        <v>1</v>
      </c>
      <c r="M73" s="45"/>
      <c r="N73" s="45"/>
      <c r="O73" s="45"/>
      <c r="P73" s="45"/>
      <c r="Q73" s="45"/>
      <c r="R73" s="45"/>
      <c r="S73" s="45"/>
      <c r="T73" s="45"/>
      <c r="U73" s="45"/>
      <c r="V73" s="45">
        <v>1</v>
      </c>
      <c r="W73" s="45"/>
      <c r="X73" s="45"/>
      <c r="Y73" s="45">
        <v>2</v>
      </c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6"/>
      <c r="AN73" s="47">
        <f t="shared" si="6"/>
        <v>0</v>
      </c>
      <c r="AO73" s="47">
        <f t="shared" si="7"/>
        <v>0</v>
      </c>
      <c r="AP73" s="47">
        <f t="shared" si="8"/>
        <v>0</v>
      </c>
      <c r="AQ73" s="47">
        <f t="shared" si="9"/>
        <v>0</v>
      </c>
      <c r="AR73" s="47">
        <f t="shared" si="10"/>
        <v>0</v>
      </c>
      <c r="AS73" s="47">
        <f t="shared" si="11"/>
        <v>0</v>
      </c>
      <c r="AT73" s="47"/>
      <c r="AU73" s="48"/>
      <c r="AV73" s="52"/>
      <c r="AW73" s="52"/>
      <c r="AX73" s="52"/>
      <c r="AY73" s="52"/>
      <c r="AZ73" s="49"/>
      <c r="BA73" s="52">
        <v>-40000</v>
      </c>
      <c r="BB73" s="43">
        <v>8</v>
      </c>
      <c r="BC73" s="43">
        <v>2026</v>
      </c>
      <c r="BD73" s="56"/>
      <c r="BE73" s="20"/>
    </row>
    <row r="74" spans="1:57" ht="29.1" customHeight="1">
      <c r="A74" s="42">
        <v>67</v>
      </c>
      <c r="B74" s="42" t="s">
        <v>366</v>
      </c>
      <c r="C74" s="56"/>
      <c r="D74" s="66" t="s">
        <v>343</v>
      </c>
      <c r="E74" s="56" t="s">
        <v>74</v>
      </c>
      <c r="F74" s="66" t="s">
        <v>197</v>
      </c>
      <c r="G74" s="67" t="s">
        <v>351</v>
      </c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6"/>
      <c r="AN74" s="47">
        <f t="shared" si="6"/>
        <v>0</v>
      </c>
      <c r="AO74" s="47">
        <f t="shared" si="7"/>
        <v>0</v>
      </c>
      <c r="AP74" s="47">
        <f t="shared" si="8"/>
        <v>0</v>
      </c>
      <c r="AQ74" s="47">
        <f t="shared" si="9"/>
        <v>0</v>
      </c>
      <c r="AR74" s="47">
        <f t="shared" si="10"/>
        <v>0</v>
      </c>
      <c r="AS74" s="47">
        <f t="shared" si="11"/>
        <v>0</v>
      </c>
      <c r="AT74" s="47"/>
      <c r="AU74" s="48"/>
      <c r="AV74" s="52"/>
      <c r="AW74" s="52"/>
      <c r="AX74" s="52"/>
      <c r="AY74" s="52"/>
      <c r="AZ74" s="49"/>
      <c r="BA74" s="52">
        <v>-40000</v>
      </c>
      <c r="BB74" s="43">
        <v>8</v>
      </c>
      <c r="BC74" s="43">
        <v>2026</v>
      </c>
      <c r="BD74" s="56"/>
      <c r="BE74" s="20"/>
    </row>
    <row r="75" spans="1:57" ht="29.1" customHeight="1">
      <c r="A75" s="42">
        <v>68</v>
      </c>
      <c r="B75" s="42" t="s">
        <v>368</v>
      </c>
      <c r="C75" s="56"/>
      <c r="D75" s="66" t="s">
        <v>285</v>
      </c>
      <c r="E75" s="56" t="s">
        <v>74</v>
      </c>
      <c r="F75" s="66" t="s">
        <v>197</v>
      </c>
      <c r="G75" s="67" t="s">
        <v>351</v>
      </c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>
        <v>2</v>
      </c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6"/>
      <c r="AN75" s="47">
        <f t="shared" si="6"/>
        <v>0</v>
      </c>
      <c r="AO75" s="47">
        <f t="shared" si="7"/>
        <v>0</v>
      </c>
      <c r="AP75" s="47">
        <f t="shared" si="8"/>
        <v>0</v>
      </c>
      <c r="AQ75" s="47">
        <f t="shared" si="9"/>
        <v>0</v>
      </c>
      <c r="AR75" s="47">
        <f t="shared" si="10"/>
        <v>0</v>
      </c>
      <c r="AS75" s="47">
        <f t="shared" si="11"/>
        <v>0</v>
      </c>
      <c r="AT75" s="47"/>
      <c r="AU75" s="48"/>
      <c r="AV75" s="52"/>
      <c r="AW75" s="52"/>
      <c r="AX75" s="52"/>
      <c r="AY75" s="52"/>
      <c r="AZ75" s="49"/>
      <c r="BA75" s="52">
        <v>-40000</v>
      </c>
      <c r="BB75" s="43">
        <v>8</v>
      </c>
      <c r="BC75" s="43">
        <v>2026</v>
      </c>
      <c r="BD75" s="56"/>
      <c r="BE75" s="20"/>
    </row>
    <row r="76" spans="1:57" ht="29.1" customHeight="1">
      <c r="A76" s="42">
        <v>69</v>
      </c>
      <c r="B76" s="42" t="s">
        <v>369</v>
      </c>
      <c r="C76" s="56"/>
      <c r="D76" s="66" t="s">
        <v>283</v>
      </c>
      <c r="E76" s="56" t="s">
        <v>74</v>
      </c>
      <c r="F76" s="66" t="s">
        <v>197</v>
      </c>
      <c r="G76" s="67" t="s">
        <v>351</v>
      </c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6"/>
      <c r="AN76" s="47">
        <f t="shared" si="6"/>
        <v>0</v>
      </c>
      <c r="AO76" s="47">
        <f t="shared" si="7"/>
        <v>0</v>
      </c>
      <c r="AP76" s="47">
        <f t="shared" si="8"/>
        <v>0</v>
      </c>
      <c r="AQ76" s="47">
        <f t="shared" si="9"/>
        <v>0</v>
      </c>
      <c r="AR76" s="47">
        <f t="shared" si="10"/>
        <v>0</v>
      </c>
      <c r="AS76" s="47">
        <f t="shared" si="11"/>
        <v>0</v>
      </c>
      <c r="AT76" s="47"/>
      <c r="AU76" s="48"/>
      <c r="AV76" s="52"/>
      <c r="AW76" s="52"/>
      <c r="AX76" s="52"/>
      <c r="AY76" s="52"/>
      <c r="AZ76" s="49"/>
      <c r="BA76" s="52">
        <v>-40000</v>
      </c>
      <c r="BB76" s="43">
        <v>8</v>
      </c>
      <c r="BC76" s="43">
        <v>2026</v>
      </c>
      <c r="BD76" s="56"/>
      <c r="BE76" s="20"/>
    </row>
    <row r="77" spans="1:57" ht="29.1" customHeight="1">
      <c r="A77" s="42">
        <v>70</v>
      </c>
      <c r="B77" s="42" t="s">
        <v>371</v>
      </c>
      <c r="C77" s="56"/>
      <c r="D77" s="66" t="s">
        <v>372</v>
      </c>
      <c r="E77" s="56" t="s">
        <v>74</v>
      </c>
      <c r="F77" s="66" t="s">
        <v>197</v>
      </c>
      <c r="G77" s="67" t="s">
        <v>373</v>
      </c>
      <c r="H77" s="45"/>
      <c r="I77" s="45"/>
      <c r="J77" s="45"/>
      <c r="K77" s="45"/>
      <c r="L77" s="73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>
        <v>2</v>
      </c>
      <c r="AF77" s="45"/>
      <c r="AG77" s="45"/>
      <c r="AH77" s="45"/>
      <c r="AI77" s="45"/>
      <c r="AJ77" s="45"/>
      <c r="AK77" s="45"/>
      <c r="AL77" s="45"/>
      <c r="AM77" s="46"/>
      <c r="AN77" s="47">
        <f t="shared" si="6"/>
        <v>0</v>
      </c>
      <c r="AO77" s="47">
        <f t="shared" si="7"/>
        <v>0</v>
      </c>
      <c r="AP77" s="47">
        <f t="shared" si="8"/>
        <v>0</v>
      </c>
      <c r="AQ77" s="47">
        <f t="shared" si="9"/>
        <v>0</v>
      </c>
      <c r="AR77" s="47">
        <f t="shared" si="10"/>
        <v>0</v>
      </c>
      <c r="AS77" s="47">
        <f t="shared" si="11"/>
        <v>0</v>
      </c>
      <c r="AT77" s="47"/>
      <c r="AU77" s="48"/>
      <c r="AV77" s="52"/>
      <c r="AW77" s="52"/>
      <c r="AX77" s="52"/>
      <c r="AY77" s="52"/>
      <c r="AZ77" s="49"/>
      <c r="BA77" s="52">
        <v>-40000</v>
      </c>
      <c r="BB77" s="43">
        <v>8</v>
      </c>
      <c r="BC77" s="43">
        <v>2026</v>
      </c>
      <c r="BD77" s="56"/>
      <c r="BE77" s="20"/>
    </row>
    <row r="78" spans="1:57" ht="29.1" customHeight="1">
      <c r="A78" s="42">
        <v>71</v>
      </c>
      <c r="B78" s="42" t="s">
        <v>382</v>
      </c>
      <c r="C78" s="56"/>
      <c r="D78" s="66" t="s">
        <v>377</v>
      </c>
      <c r="E78" s="56" t="s">
        <v>77</v>
      </c>
      <c r="F78" s="66" t="s">
        <v>93</v>
      </c>
      <c r="G78" s="67" t="s">
        <v>373</v>
      </c>
      <c r="H78" s="45"/>
      <c r="I78" s="45">
        <v>1.5</v>
      </c>
      <c r="J78" s="45"/>
      <c r="K78" s="45"/>
      <c r="L78" s="45"/>
      <c r="M78" s="45"/>
      <c r="N78" s="45"/>
      <c r="O78" s="45"/>
      <c r="P78" s="45"/>
      <c r="Q78" s="45">
        <v>2</v>
      </c>
      <c r="R78" s="45"/>
      <c r="S78" s="45"/>
      <c r="T78" s="45"/>
      <c r="U78" s="45"/>
      <c r="V78" s="45"/>
      <c r="W78" s="45"/>
      <c r="X78" s="45">
        <v>2</v>
      </c>
      <c r="Y78" s="45">
        <v>2</v>
      </c>
      <c r="Z78" s="45"/>
      <c r="AA78" s="45"/>
      <c r="AB78" s="45"/>
      <c r="AC78" s="45"/>
      <c r="AD78" s="45"/>
      <c r="AE78" s="45">
        <v>1</v>
      </c>
      <c r="AF78" s="45"/>
      <c r="AG78" s="45"/>
      <c r="AH78" s="45"/>
      <c r="AI78" s="45"/>
      <c r="AJ78" s="45"/>
      <c r="AK78" s="45"/>
      <c r="AL78" s="45"/>
      <c r="AM78" s="46"/>
      <c r="AN78" s="47">
        <f t="shared" si="6"/>
        <v>0</v>
      </c>
      <c r="AO78" s="47">
        <f t="shared" si="7"/>
        <v>0</v>
      </c>
      <c r="AP78" s="47">
        <f t="shared" si="8"/>
        <v>0</v>
      </c>
      <c r="AQ78" s="47">
        <f t="shared" si="9"/>
        <v>0</v>
      </c>
      <c r="AR78" s="47">
        <f t="shared" si="10"/>
        <v>0</v>
      </c>
      <c r="AS78" s="47">
        <f t="shared" si="11"/>
        <v>0</v>
      </c>
      <c r="AT78" s="47"/>
      <c r="AU78" s="48"/>
      <c r="AV78" s="52"/>
      <c r="AW78" s="52"/>
      <c r="AX78" s="52"/>
      <c r="AY78" s="52"/>
      <c r="AZ78" s="49"/>
      <c r="BA78" s="52">
        <v>-40000</v>
      </c>
      <c r="BB78" s="43">
        <v>8</v>
      </c>
      <c r="BC78" s="43">
        <v>2026</v>
      </c>
      <c r="BD78" s="56"/>
      <c r="BE78" s="20"/>
    </row>
    <row r="79" spans="1:57" ht="29.1" customHeight="1">
      <c r="A79" s="42">
        <v>72</v>
      </c>
      <c r="B79" s="42" t="s">
        <v>383</v>
      </c>
      <c r="C79" s="56"/>
      <c r="D79" s="66" t="s">
        <v>378</v>
      </c>
      <c r="E79" s="56" t="s">
        <v>77</v>
      </c>
      <c r="F79" s="66" t="s">
        <v>93</v>
      </c>
      <c r="G79" s="67" t="s">
        <v>373</v>
      </c>
      <c r="H79" s="45"/>
      <c r="I79" s="45"/>
      <c r="J79" s="45">
        <v>1</v>
      </c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6"/>
      <c r="AN79" s="47">
        <f t="shared" si="6"/>
        <v>0</v>
      </c>
      <c r="AO79" s="47">
        <f t="shared" si="7"/>
        <v>0</v>
      </c>
      <c r="AP79" s="47">
        <f t="shared" si="8"/>
        <v>0</v>
      </c>
      <c r="AQ79" s="47">
        <f t="shared" si="9"/>
        <v>0</v>
      </c>
      <c r="AR79" s="47">
        <f t="shared" si="10"/>
        <v>0</v>
      </c>
      <c r="AS79" s="47">
        <f t="shared" si="11"/>
        <v>0</v>
      </c>
      <c r="AT79" s="47"/>
      <c r="AU79" s="48"/>
      <c r="AV79" s="52"/>
      <c r="AW79" s="52"/>
      <c r="AX79" s="52"/>
      <c r="AY79" s="52"/>
      <c r="AZ79" s="49"/>
      <c r="BA79" s="52">
        <v>-40000</v>
      </c>
      <c r="BB79" s="43">
        <v>8</v>
      </c>
      <c r="BC79" s="43">
        <v>2026</v>
      </c>
      <c r="BD79" s="56"/>
      <c r="BE79" s="20"/>
    </row>
    <row r="80" spans="1:57" ht="29.1" customHeight="1">
      <c r="A80" s="42">
        <v>73</v>
      </c>
      <c r="B80" s="42" t="s">
        <v>400</v>
      </c>
      <c r="C80" s="56"/>
      <c r="D80" s="66" t="s">
        <v>401</v>
      </c>
      <c r="E80" s="56" t="s">
        <v>74</v>
      </c>
      <c r="F80" s="66" t="s">
        <v>197</v>
      </c>
      <c r="G80" s="67" t="s">
        <v>373</v>
      </c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6"/>
      <c r="AN80" s="47">
        <f t="shared" si="6"/>
        <v>0</v>
      </c>
      <c r="AO80" s="47">
        <f t="shared" si="7"/>
        <v>0</v>
      </c>
      <c r="AP80" s="47">
        <f t="shared" si="8"/>
        <v>0</v>
      </c>
      <c r="AQ80" s="47">
        <f t="shared" si="9"/>
        <v>0</v>
      </c>
      <c r="AR80" s="47">
        <f t="shared" si="10"/>
        <v>0</v>
      </c>
      <c r="AS80" s="47">
        <f t="shared" si="11"/>
        <v>0</v>
      </c>
      <c r="AT80" s="47"/>
      <c r="AU80" s="48"/>
      <c r="AV80" s="52"/>
      <c r="AW80" s="52"/>
      <c r="AX80" s="52"/>
      <c r="AY80" s="52"/>
      <c r="AZ80" s="49"/>
      <c r="BA80" s="52"/>
      <c r="BB80" s="43">
        <v>8</v>
      </c>
      <c r="BC80" s="43">
        <v>2026</v>
      </c>
      <c r="BD80" s="56"/>
      <c r="BE80" s="20"/>
    </row>
    <row r="81" spans="1:57" ht="29.1" customHeight="1">
      <c r="A81" s="42">
        <v>74</v>
      </c>
      <c r="B81" s="42" t="s">
        <v>388</v>
      </c>
      <c r="C81" s="56"/>
      <c r="D81" s="66" t="s">
        <v>36</v>
      </c>
      <c r="E81" s="68" t="s">
        <v>77</v>
      </c>
      <c r="F81" s="66" t="s">
        <v>46</v>
      </c>
      <c r="G81" s="69" t="s">
        <v>390</v>
      </c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6"/>
      <c r="AN81" s="47">
        <f t="shared" si="6"/>
        <v>0</v>
      </c>
      <c r="AO81" s="47">
        <f t="shared" si="7"/>
        <v>0</v>
      </c>
      <c r="AP81" s="47">
        <f t="shared" si="8"/>
        <v>0</v>
      </c>
      <c r="AQ81" s="47">
        <f t="shared" si="9"/>
        <v>0</v>
      </c>
      <c r="AR81" s="47">
        <f t="shared" si="10"/>
        <v>0</v>
      </c>
      <c r="AS81" s="47">
        <f t="shared" si="11"/>
        <v>0</v>
      </c>
      <c r="AT81" s="47"/>
      <c r="AU81" s="48"/>
      <c r="AV81" s="52"/>
      <c r="AW81" s="52"/>
      <c r="AX81" s="52"/>
      <c r="AY81" s="52"/>
      <c r="AZ81" s="49"/>
      <c r="BA81" s="52">
        <v>-40000</v>
      </c>
      <c r="BB81" s="43">
        <v>8</v>
      </c>
      <c r="BC81" s="43">
        <v>2026</v>
      </c>
      <c r="BD81" s="56"/>
      <c r="BE81" s="20"/>
    </row>
    <row r="82" spans="1:57" ht="29.1" customHeight="1">
      <c r="A82" s="42">
        <v>75</v>
      </c>
      <c r="B82" s="42" t="s">
        <v>391</v>
      </c>
      <c r="C82" s="56"/>
      <c r="D82" s="66" t="s">
        <v>392</v>
      </c>
      <c r="E82" s="68" t="s">
        <v>74</v>
      </c>
      <c r="F82" s="66" t="s">
        <v>393</v>
      </c>
      <c r="G82" s="69" t="s">
        <v>394</v>
      </c>
      <c r="H82" s="45"/>
      <c r="I82" s="45">
        <v>0.5</v>
      </c>
      <c r="J82" s="45"/>
      <c r="K82" s="45"/>
      <c r="L82" s="45"/>
      <c r="M82" s="45"/>
      <c r="N82" s="45"/>
      <c r="O82" s="45"/>
      <c r="P82" s="45">
        <v>2</v>
      </c>
      <c r="Q82" s="45"/>
      <c r="R82" s="45"/>
      <c r="S82" s="45">
        <v>2</v>
      </c>
      <c r="T82" s="45"/>
      <c r="U82" s="45"/>
      <c r="V82" s="45">
        <v>2</v>
      </c>
      <c r="W82" s="45"/>
      <c r="X82" s="45">
        <v>2</v>
      </c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6"/>
      <c r="AN82" s="47">
        <f t="shared" si="6"/>
        <v>0</v>
      </c>
      <c r="AO82" s="47">
        <f t="shared" si="7"/>
        <v>0</v>
      </c>
      <c r="AP82" s="47">
        <f t="shared" si="8"/>
        <v>0</v>
      </c>
      <c r="AQ82" s="47">
        <f t="shared" si="9"/>
        <v>0</v>
      </c>
      <c r="AR82" s="47">
        <f t="shared" si="10"/>
        <v>0</v>
      </c>
      <c r="AS82" s="47">
        <f t="shared" si="11"/>
        <v>0</v>
      </c>
      <c r="AT82" s="47"/>
      <c r="AU82" s="48"/>
      <c r="AV82" s="52"/>
      <c r="AW82" s="52"/>
      <c r="AX82" s="52"/>
      <c r="AY82" s="52"/>
      <c r="AZ82" s="49"/>
      <c r="BA82" s="52">
        <v>-40000</v>
      </c>
      <c r="BB82" s="43">
        <v>8</v>
      </c>
      <c r="BC82" s="43">
        <v>2026</v>
      </c>
      <c r="BD82" s="56"/>
      <c r="BE82" s="20"/>
    </row>
    <row r="83" spans="1:57" ht="29.1" customHeight="1">
      <c r="A83" s="42">
        <v>76</v>
      </c>
      <c r="B83" s="42" t="s">
        <v>398</v>
      </c>
      <c r="C83" s="56"/>
      <c r="D83" s="66" t="s">
        <v>396</v>
      </c>
      <c r="E83" s="68" t="s">
        <v>74</v>
      </c>
      <c r="F83" s="66" t="s">
        <v>197</v>
      </c>
      <c r="G83" s="69" t="s">
        <v>397</v>
      </c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6"/>
      <c r="AN83" s="47">
        <f t="shared" si="6"/>
        <v>0</v>
      </c>
      <c r="AO83" s="47">
        <f t="shared" si="7"/>
        <v>0</v>
      </c>
      <c r="AP83" s="47">
        <f t="shared" si="8"/>
        <v>0</v>
      </c>
      <c r="AQ83" s="47">
        <f t="shared" si="9"/>
        <v>0</v>
      </c>
      <c r="AR83" s="47">
        <f t="shared" si="10"/>
        <v>0</v>
      </c>
      <c r="AS83" s="47">
        <f t="shared" si="11"/>
        <v>0</v>
      </c>
      <c r="AT83" s="47"/>
      <c r="AU83" s="48"/>
      <c r="AV83" s="52"/>
      <c r="AW83" s="52"/>
      <c r="AX83" s="52"/>
      <c r="AY83" s="52"/>
      <c r="AZ83" s="49"/>
      <c r="BA83" s="52">
        <v>-40000</v>
      </c>
      <c r="BB83" s="43">
        <v>8</v>
      </c>
      <c r="BC83" s="43">
        <v>2026</v>
      </c>
      <c r="BD83" s="56"/>
      <c r="BE83" s="20"/>
    </row>
    <row r="84" spans="1:57" ht="29.1" customHeight="1">
      <c r="A84" s="42">
        <v>77</v>
      </c>
      <c r="B84" s="42" t="s">
        <v>405</v>
      </c>
      <c r="C84" s="56"/>
      <c r="D84" s="66" t="s">
        <v>402</v>
      </c>
      <c r="E84" s="68" t="s">
        <v>77</v>
      </c>
      <c r="F84" s="66" t="s">
        <v>93</v>
      </c>
      <c r="G84" s="69" t="s">
        <v>408</v>
      </c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>
        <v>2</v>
      </c>
      <c r="Z84" s="45"/>
      <c r="AA84" s="45"/>
      <c r="AB84" s="45"/>
      <c r="AC84" s="45"/>
      <c r="AD84" s="45"/>
      <c r="AE84">
        <v>1</v>
      </c>
      <c r="AF84" s="45"/>
      <c r="AG84" s="45"/>
      <c r="AH84" s="45"/>
      <c r="AI84" s="45"/>
      <c r="AJ84" s="45"/>
      <c r="AK84" s="45"/>
      <c r="AL84" s="45"/>
      <c r="AM84" s="46"/>
      <c r="AN84" s="47"/>
      <c r="AO84" s="47"/>
      <c r="AP84" s="47"/>
      <c r="AQ84" s="47"/>
      <c r="AR84" s="47"/>
      <c r="AS84" s="47"/>
      <c r="AT84" s="47"/>
      <c r="AU84" s="48"/>
      <c r="AV84" s="52"/>
      <c r="AW84" s="52"/>
      <c r="AX84" s="52"/>
      <c r="AY84" s="52"/>
      <c r="AZ84" s="49"/>
      <c r="BA84" s="52"/>
      <c r="BB84" s="43">
        <v>8</v>
      </c>
      <c r="BC84" s="43">
        <v>2026</v>
      </c>
      <c r="BD84" s="56"/>
      <c r="BE84" s="20"/>
    </row>
    <row r="85" spans="1:57" ht="29.1" customHeight="1">
      <c r="A85" s="42">
        <v>78</v>
      </c>
      <c r="B85" s="42" t="s">
        <v>406</v>
      </c>
      <c r="C85" s="56"/>
      <c r="D85" s="66" t="s">
        <v>403</v>
      </c>
      <c r="E85" s="68" t="s">
        <v>77</v>
      </c>
      <c r="F85" s="66" t="s">
        <v>93</v>
      </c>
      <c r="G85" s="69" t="s">
        <v>408</v>
      </c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>
        <v>2</v>
      </c>
      <c r="V85" s="45"/>
      <c r="W85" s="45">
        <v>2</v>
      </c>
      <c r="X85" s="45"/>
      <c r="Y85" s="45">
        <v>2</v>
      </c>
      <c r="Z85" s="45"/>
      <c r="AA85" s="45"/>
      <c r="AB85" s="45"/>
      <c r="AC85" s="45"/>
      <c r="AD85" s="45"/>
      <c r="AE85" s="45">
        <v>1</v>
      </c>
      <c r="AF85" s="45"/>
      <c r="AG85" s="45"/>
      <c r="AH85" s="45"/>
      <c r="AI85" s="45"/>
      <c r="AJ85" s="45"/>
      <c r="AK85" s="45"/>
      <c r="AL85" s="45"/>
      <c r="AM85" s="46"/>
      <c r="AN85" s="47"/>
      <c r="AO85" s="47"/>
      <c r="AP85" s="47"/>
      <c r="AQ85" s="47"/>
      <c r="AR85" s="47"/>
      <c r="AS85" s="47"/>
      <c r="AT85" s="47"/>
      <c r="AU85" s="48"/>
      <c r="AV85" s="52"/>
      <c r="AW85" s="52"/>
      <c r="AX85" s="52"/>
      <c r="AY85" s="52"/>
      <c r="AZ85" s="49"/>
      <c r="BA85" s="52"/>
      <c r="BB85" s="43">
        <v>8</v>
      </c>
      <c r="BC85" s="43">
        <v>2026</v>
      </c>
      <c r="BD85" s="56"/>
      <c r="BE85" s="20"/>
    </row>
    <row r="86" spans="1:57" ht="29.1" customHeight="1">
      <c r="A86" s="42">
        <v>79</v>
      </c>
      <c r="B86" s="42" t="s">
        <v>407</v>
      </c>
      <c r="C86" s="56"/>
      <c r="D86" s="66" t="s">
        <v>404</v>
      </c>
      <c r="E86" s="68" t="s">
        <v>74</v>
      </c>
      <c r="F86" s="66" t="s">
        <v>197</v>
      </c>
      <c r="G86" s="69" t="s">
        <v>409</v>
      </c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6"/>
      <c r="AN86" s="47"/>
      <c r="AO86" s="47"/>
      <c r="AP86" s="47"/>
      <c r="AQ86" s="47"/>
      <c r="AR86" s="47"/>
      <c r="AS86" s="47"/>
      <c r="AT86" s="47"/>
      <c r="AU86" s="48"/>
      <c r="AV86" s="52"/>
      <c r="AW86" s="52"/>
      <c r="AX86" s="52"/>
      <c r="AY86" s="52"/>
      <c r="AZ86" s="49"/>
      <c r="BA86" s="52"/>
      <c r="BB86" s="43">
        <v>8</v>
      </c>
      <c r="BC86" s="43">
        <v>2026</v>
      </c>
      <c r="BD86" s="56"/>
      <c r="BE86" s="20"/>
    </row>
    <row r="87" spans="1:57" ht="29.1" customHeight="1">
      <c r="A87" s="42">
        <v>80</v>
      </c>
      <c r="B87" s="42" t="s">
        <v>410</v>
      </c>
      <c r="C87" s="56"/>
      <c r="D87" s="66" t="s">
        <v>411</v>
      </c>
      <c r="E87" s="68" t="s">
        <v>74</v>
      </c>
      <c r="F87" s="66" t="s">
        <v>197</v>
      </c>
      <c r="G87" s="69" t="s">
        <v>412</v>
      </c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>
        <v>2</v>
      </c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70"/>
      <c r="AN87" s="70"/>
      <c r="AO87" s="70"/>
      <c r="AP87" s="70"/>
      <c r="AQ87" s="70"/>
      <c r="AR87" s="70"/>
      <c r="AS87" s="70"/>
      <c r="AT87" s="70"/>
      <c r="AU87" s="70"/>
      <c r="AV87" s="70"/>
      <c r="AW87" s="70"/>
      <c r="AX87" s="70"/>
      <c r="AY87" s="70"/>
      <c r="AZ87" s="70"/>
      <c r="BA87" s="70"/>
      <c r="BB87" s="43">
        <v>8</v>
      </c>
      <c r="BC87" s="43">
        <v>2026</v>
      </c>
      <c r="BD87" s="70"/>
    </row>
    <row r="88" spans="1:57" ht="29.1" customHeight="1">
      <c r="A88" s="42">
        <v>81</v>
      </c>
      <c r="B88" s="42" t="s">
        <v>432</v>
      </c>
      <c r="C88" s="56"/>
      <c r="D88" s="66" t="s">
        <v>413</v>
      </c>
      <c r="E88" s="68" t="s">
        <v>74</v>
      </c>
      <c r="F88" s="66" t="s">
        <v>197</v>
      </c>
      <c r="G88" s="69" t="s">
        <v>412</v>
      </c>
      <c r="H88" s="45"/>
      <c r="I88" s="45">
        <v>1.5</v>
      </c>
      <c r="J88" s="45"/>
      <c r="K88" s="45"/>
      <c r="L88" s="45">
        <v>1</v>
      </c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70"/>
      <c r="AN88" s="70"/>
      <c r="AO88" s="70"/>
      <c r="AP88" s="70"/>
      <c r="AQ88" s="70"/>
      <c r="AR88" s="70"/>
      <c r="AS88" s="70"/>
      <c r="AT88" s="70"/>
      <c r="AU88" s="70"/>
      <c r="AV88" s="70"/>
      <c r="AW88" s="70"/>
      <c r="AX88" s="70"/>
      <c r="AY88" s="70"/>
      <c r="AZ88" s="70"/>
      <c r="BA88" s="70"/>
      <c r="BB88" s="43">
        <v>8</v>
      </c>
      <c r="BC88" s="43">
        <v>2026</v>
      </c>
      <c r="BD88" s="70"/>
    </row>
    <row r="89" spans="1:57" ht="29.1" customHeight="1">
      <c r="A89" s="42">
        <v>82</v>
      </c>
      <c r="B89" s="42" t="s">
        <v>439</v>
      </c>
      <c r="C89" s="56"/>
      <c r="D89" s="66" t="s">
        <v>414</v>
      </c>
      <c r="E89" s="68" t="s">
        <v>74</v>
      </c>
      <c r="F89" s="66" t="s">
        <v>197</v>
      </c>
      <c r="G89" s="69" t="s">
        <v>415</v>
      </c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>
        <v>2</v>
      </c>
      <c r="Z89" s="45"/>
      <c r="AA89" s="45"/>
      <c r="AB89" s="45"/>
      <c r="AC89" s="45"/>
      <c r="AD89" s="45"/>
      <c r="AE89" s="45">
        <v>2</v>
      </c>
      <c r="AF89" s="45"/>
      <c r="AG89" s="45"/>
      <c r="AH89" s="45"/>
      <c r="AI89" s="45"/>
      <c r="AJ89" s="45"/>
      <c r="AK89" s="45"/>
      <c r="AL89" s="45"/>
      <c r="AM89" s="70"/>
      <c r="AN89" s="70"/>
      <c r="AO89" s="70"/>
      <c r="AP89" s="70"/>
      <c r="AQ89" s="70"/>
      <c r="AR89" s="70"/>
      <c r="AS89" s="70"/>
      <c r="AT89" s="70"/>
      <c r="AU89" s="70"/>
      <c r="AV89" s="70"/>
      <c r="AW89" s="70"/>
      <c r="AX89" s="70"/>
      <c r="AY89" s="70"/>
      <c r="AZ89" s="70"/>
      <c r="BA89" s="70"/>
      <c r="BB89" s="43">
        <v>8</v>
      </c>
      <c r="BC89" s="43">
        <v>2026</v>
      </c>
      <c r="BD89" s="70"/>
    </row>
    <row r="90" spans="1:57" ht="29.1" customHeight="1">
      <c r="A90" s="42">
        <v>83</v>
      </c>
      <c r="B90" s="42" t="s">
        <v>433</v>
      </c>
      <c r="C90" s="56"/>
      <c r="D90" s="66" t="s">
        <v>416</v>
      </c>
      <c r="E90" s="68" t="s">
        <v>74</v>
      </c>
      <c r="F90" s="66" t="s">
        <v>197</v>
      </c>
      <c r="G90" s="69" t="s">
        <v>417</v>
      </c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70"/>
      <c r="AN90" s="70"/>
      <c r="AO90" s="70"/>
      <c r="AP90" s="70"/>
      <c r="AQ90" s="70"/>
      <c r="AR90" s="70"/>
      <c r="AS90" s="70"/>
      <c r="AT90" s="70"/>
      <c r="AU90" s="70"/>
      <c r="AV90" s="70"/>
      <c r="AW90" s="70"/>
      <c r="AX90" s="70"/>
      <c r="AY90" s="70"/>
      <c r="AZ90" s="70"/>
      <c r="BA90" s="70"/>
      <c r="BB90" s="43">
        <v>8</v>
      </c>
      <c r="BC90" s="43">
        <v>2026</v>
      </c>
      <c r="BD90" s="70"/>
    </row>
    <row r="91" spans="1:57" ht="29.1" customHeight="1">
      <c r="A91" s="42">
        <v>84</v>
      </c>
      <c r="B91" s="42" t="s">
        <v>434</v>
      </c>
      <c r="C91" s="56"/>
      <c r="D91" s="66" t="s">
        <v>418</v>
      </c>
      <c r="E91" s="68" t="s">
        <v>74</v>
      </c>
      <c r="F91" s="66" t="s">
        <v>197</v>
      </c>
      <c r="G91" s="69" t="s">
        <v>417</v>
      </c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70"/>
      <c r="AN91" s="70"/>
      <c r="AO91" s="70"/>
      <c r="AP91" s="70"/>
      <c r="AQ91" s="70"/>
      <c r="AR91" s="70"/>
      <c r="AS91" s="70"/>
      <c r="AT91" s="70"/>
      <c r="AU91" s="70"/>
      <c r="AV91" s="70"/>
      <c r="AW91" s="70"/>
      <c r="AX91" s="70"/>
      <c r="AY91" s="70"/>
      <c r="AZ91" s="70"/>
      <c r="BA91" s="70"/>
      <c r="BB91" s="43">
        <v>8</v>
      </c>
      <c r="BC91" s="43">
        <v>2026</v>
      </c>
      <c r="BD91" s="70"/>
    </row>
    <row r="92" spans="1:57" ht="29.1" customHeight="1">
      <c r="A92" s="42">
        <v>85</v>
      </c>
      <c r="B92" s="42" t="s">
        <v>419</v>
      </c>
      <c r="C92" s="56"/>
      <c r="D92" s="66" t="s">
        <v>420</v>
      </c>
      <c r="E92" s="68" t="s">
        <v>74</v>
      </c>
      <c r="F92" s="66" t="s">
        <v>197</v>
      </c>
      <c r="G92" s="69" t="s">
        <v>417</v>
      </c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0"/>
      <c r="AX92" s="70"/>
      <c r="AY92" s="70"/>
      <c r="AZ92" s="70"/>
      <c r="BA92" s="70"/>
      <c r="BB92" s="43">
        <v>8</v>
      </c>
      <c r="BC92" s="43">
        <v>2026</v>
      </c>
      <c r="BD92" s="70"/>
    </row>
    <row r="93" spans="1:57" ht="29.1" customHeight="1">
      <c r="A93" s="42">
        <v>86</v>
      </c>
      <c r="B93" s="42" t="s">
        <v>421</v>
      </c>
      <c r="C93" s="56"/>
      <c r="D93" s="66" t="s">
        <v>422</v>
      </c>
      <c r="E93" s="68" t="s">
        <v>423</v>
      </c>
      <c r="F93" s="66" t="s">
        <v>424</v>
      </c>
      <c r="G93" s="69" t="s">
        <v>425</v>
      </c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70"/>
      <c r="AN93" s="70"/>
      <c r="AO93" s="70"/>
      <c r="AP93" s="70"/>
      <c r="AQ93" s="70"/>
      <c r="AR93" s="70"/>
      <c r="AS93" s="70"/>
      <c r="AT93" s="70"/>
      <c r="AU93" s="70"/>
      <c r="AV93" s="70"/>
      <c r="AW93" s="70"/>
      <c r="AX93" s="70"/>
      <c r="AY93" s="70"/>
      <c r="AZ93" s="70"/>
      <c r="BA93" s="70"/>
      <c r="BB93" s="43">
        <v>8</v>
      </c>
      <c r="BC93" s="43">
        <v>2026</v>
      </c>
      <c r="BD93" s="70"/>
    </row>
    <row r="94" spans="1:57" ht="29.1" customHeight="1">
      <c r="A94" s="42">
        <v>87</v>
      </c>
      <c r="B94" s="42" t="s">
        <v>426</v>
      </c>
      <c r="C94" s="56"/>
      <c r="D94" s="66" t="s">
        <v>427</v>
      </c>
      <c r="E94" s="68" t="s">
        <v>428</v>
      </c>
      <c r="F94" s="66" t="s">
        <v>429</v>
      </c>
      <c r="G94" s="69" t="s">
        <v>430</v>
      </c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70"/>
      <c r="AN94" s="70"/>
      <c r="AO94" s="70"/>
      <c r="AP94" s="70"/>
      <c r="AQ94" s="70"/>
      <c r="AR94" s="70"/>
      <c r="AS94" s="70"/>
      <c r="AT94" s="70"/>
      <c r="AU94" s="70"/>
      <c r="AV94" s="70"/>
      <c r="AW94" s="70"/>
      <c r="AX94" s="70"/>
      <c r="AY94" s="70"/>
      <c r="AZ94" s="70"/>
      <c r="BA94" s="70"/>
      <c r="BB94" s="43">
        <v>8</v>
      </c>
      <c r="BC94" s="43">
        <v>2026</v>
      </c>
      <c r="BD94" s="70"/>
    </row>
    <row r="95" spans="1:57">
      <c r="A95" s="42">
        <v>88</v>
      </c>
      <c r="B95" s="42" t="s">
        <v>453</v>
      </c>
      <c r="C95" s="56"/>
      <c r="D95" s="66" t="s">
        <v>440</v>
      </c>
      <c r="E95" s="68" t="s">
        <v>74</v>
      </c>
      <c r="F95" s="66" t="s">
        <v>197</v>
      </c>
      <c r="G95" s="69" t="s">
        <v>446</v>
      </c>
      <c r="H95" s="45"/>
      <c r="I95" s="45"/>
      <c r="J95" s="45"/>
      <c r="K95" s="45"/>
      <c r="L95" s="45"/>
      <c r="M95" s="45"/>
      <c r="N95" s="45"/>
      <c r="O95" s="45">
        <v>2</v>
      </c>
      <c r="P95" s="45"/>
      <c r="Q95" s="45">
        <v>2</v>
      </c>
      <c r="R95" s="45">
        <v>2</v>
      </c>
      <c r="S95" s="45"/>
      <c r="T95" s="45"/>
      <c r="U95" s="45">
        <v>2</v>
      </c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 s="70"/>
      <c r="AX95" s="70"/>
      <c r="AY95" s="70"/>
      <c r="AZ95" s="70"/>
      <c r="BA95" s="70"/>
      <c r="BB95" s="43">
        <v>8</v>
      </c>
      <c r="BC95" s="43">
        <v>2026</v>
      </c>
      <c r="BD95" s="70"/>
    </row>
    <row r="96" spans="1:57">
      <c r="A96" s="42">
        <v>89</v>
      </c>
      <c r="B96" s="42" t="s">
        <v>450</v>
      </c>
      <c r="C96" s="56"/>
      <c r="D96" s="66" t="s">
        <v>441</v>
      </c>
      <c r="E96" s="68" t="s">
        <v>74</v>
      </c>
      <c r="F96" s="66" t="s">
        <v>48</v>
      </c>
      <c r="G96" s="69" t="s">
        <v>446</v>
      </c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>
        <v>2</v>
      </c>
      <c r="Z96" s="45"/>
      <c r="AA96" s="45"/>
      <c r="AB96" s="45"/>
      <c r="AC96" s="45"/>
      <c r="AD96" s="45"/>
      <c r="AE96" s="45">
        <v>2</v>
      </c>
      <c r="AF96" s="45"/>
      <c r="AG96" s="45"/>
      <c r="AH96" s="45"/>
      <c r="AI96" s="45"/>
      <c r="AJ96" s="45"/>
      <c r="AK96" s="45"/>
      <c r="AL96" s="45"/>
      <c r="AM96" s="70"/>
      <c r="AN96" s="70"/>
      <c r="AO96" s="70"/>
      <c r="AP96" s="70"/>
      <c r="AQ96" s="70"/>
      <c r="AR96" s="70"/>
      <c r="AS96" s="70"/>
      <c r="AT96" s="70"/>
      <c r="AU96" s="70"/>
      <c r="AV96" s="70"/>
      <c r="AW96" s="70"/>
      <c r="AX96" s="70"/>
      <c r="AY96" s="70"/>
      <c r="AZ96" s="70"/>
      <c r="BA96" s="70"/>
      <c r="BB96" s="43">
        <v>8</v>
      </c>
      <c r="BC96" s="43">
        <v>2026</v>
      </c>
      <c r="BD96" s="70"/>
    </row>
    <row r="97" spans="1:56">
      <c r="A97" s="42">
        <v>90</v>
      </c>
      <c r="B97" s="42" t="s">
        <v>452</v>
      </c>
      <c r="C97" s="56"/>
      <c r="D97" s="66" t="s">
        <v>442</v>
      </c>
      <c r="E97" s="68" t="s">
        <v>74</v>
      </c>
      <c r="F97" s="66" t="s">
        <v>49</v>
      </c>
      <c r="G97" s="69" t="s">
        <v>447</v>
      </c>
      <c r="H97" s="45"/>
      <c r="I97" s="45"/>
      <c r="J97" s="45"/>
      <c r="K97" s="45"/>
      <c r="L97" s="45"/>
      <c r="M97" s="45"/>
      <c r="N97" s="45"/>
      <c r="O97" s="45">
        <v>2</v>
      </c>
      <c r="P97" s="45"/>
      <c r="Q97" s="45">
        <v>2</v>
      </c>
      <c r="R97" s="45">
        <v>2</v>
      </c>
      <c r="S97" s="45"/>
      <c r="T97" s="45">
        <v>8</v>
      </c>
      <c r="U97" s="45"/>
      <c r="V97" s="45"/>
      <c r="W97" s="45"/>
      <c r="X97" s="45"/>
      <c r="Y97" s="45">
        <v>2</v>
      </c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 s="70"/>
      <c r="AX97" s="70"/>
      <c r="AY97" s="70"/>
      <c r="AZ97" s="70"/>
      <c r="BA97" s="70"/>
      <c r="BB97" s="43">
        <v>8</v>
      </c>
      <c r="BC97" s="43">
        <v>2026</v>
      </c>
      <c r="BD97" s="70"/>
    </row>
    <row r="98" spans="1:56">
      <c r="A98" s="42">
        <v>91</v>
      </c>
      <c r="B98" s="42" t="s">
        <v>451</v>
      </c>
      <c r="C98" s="56"/>
      <c r="D98" s="66" t="s">
        <v>443</v>
      </c>
      <c r="E98" s="68" t="s">
        <v>74</v>
      </c>
      <c r="F98" s="66" t="s">
        <v>48</v>
      </c>
      <c r="G98" s="69" t="s">
        <v>448</v>
      </c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>
        <v>2</v>
      </c>
      <c r="Z98" s="45"/>
      <c r="AA98" s="45"/>
      <c r="AB98" s="45"/>
      <c r="AC98" s="45"/>
      <c r="AD98" s="45"/>
      <c r="AE98" s="45">
        <v>2</v>
      </c>
      <c r="AF98" s="45"/>
      <c r="AG98" s="45"/>
      <c r="AH98" s="45"/>
      <c r="AI98" s="45"/>
      <c r="AJ98" s="45"/>
      <c r="AK98" s="45"/>
      <c r="AL98" s="45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 s="70"/>
      <c r="AX98" s="70"/>
      <c r="AY98" s="70"/>
      <c r="AZ98" s="70"/>
      <c r="BA98" s="70"/>
      <c r="BB98" s="43">
        <v>8</v>
      </c>
      <c r="BC98" s="43">
        <v>2026</v>
      </c>
      <c r="BD98" s="70"/>
    </row>
    <row r="99" spans="1:56">
      <c r="A99" s="42">
        <v>92</v>
      </c>
      <c r="B99" s="42" t="s">
        <v>445</v>
      </c>
      <c r="C99" s="56"/>
      <c r="D99" s="66" t="s">
        <v>334</v>
      </c>
      <c r="E99" s="68" t="s">
        <v>74</v>
      </c>
      <c r="F99" s="66" t="s">
        <v>48</v>
      </c>
      <c r="G99" s="69" t="s">
        <v>448</v>
      </c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 s="70"/>
      <c r="AX99" s="70"/>
      <c r="AY99" s="70"/>
      <c r="AZ99" s="70"/>
      <c r="BA99" s="70"/>
      <c r="BB99" s="43">
        <v>8</v>
      </c>
      <c r="BC99" s="43">
        <v>2026</v>
      </c>
      <c r="BD99" s="70"/>
    </row>
    <row r="100" spans="1:56">
      <c r="A100" s="42">
        <v>93</v>
      </c>
      <c r="B100" s="42" t="s">
        <v>454</v>
      </c>
      <c r="C100" s="56"/>
      <c r="D100" s="66" t="s">
        <v>444</v>
      </c>
      <c r="E100" s="68" t="s">
        <v>79</v>
      </c>
      <c r="F100" s="66" t="s">
        <v>45</v>
      </c>
      <c r="G100" s="69" t="s">
        <v>449</v>
      </c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 s="70"/>
      <c r="AX100" s="70"/>
      <c r="AY100" s="70"/>
      <c r="AZ100" s="70"/>
      <c r="BA100" s="70"/>
      <c r="BB100" s="43">
        <v>8</v>
      </c>
      <c r="BC100" s="43">
        <v>2026</v>
      </c>
      <c r="BD100" s="70"/>
    </row>
    <row r="101" spans="1:56">
      <c r="A101" s="42">
        <v>94</v>
      </c>
      <c r="B101" s="42" t="s">
        <v>488</v>
      </c>
      <c r="C101" s="56"/>
      <c r="D101" s="66" t="s">
        <v>489</v>
      </c>
      <c r="E101" s="68" t="s">
        <v>74</v>
      </c>
      <c r="F101" s="66" t="s">
        <v>49</v>
      </c>
      <c r="G101" s="69" t="s">
        <v>449</v>
      </c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 s="70"/>
      <c r="AX101" s="70"/>
      <c r="AY101" s="70"/>
      <c r="AZ101" s="70"/>
      <c r="BA101" s="70"/>
      <c r="BB101" s="43"/>
      <c r="BC101" s="43"/>
      <c r="BD101" s="70"/>
    </row>
    <row r="102" spans="1:56">
      <c r="A102" s="42">
        <v>95</v>
      </c>
      <c r="B102" s="42" t="s">
        <v>478</v>
      </c>
      <c r="C102" s="56"/>
      <c r="D102" s="66" t="s">
        <v>479</v>
      </c>
      <c r="E102" s="68" t="s">
        <v>74</v>
      </c>
      <c r="F102" s="66" t="s">
        <v>48</v>
      </c>
      <c r="G102" s="69" t="s">
        <v>480</v>
      </c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 s="70"/>
      <c r="AX102" s="70"/>
      <c r="AY102" s="70"/>
      <c r="AZ102" s="70"/>
      <c r="BA102" s="70"/>
      <c r="BB102" s="43"/>
      <c r="BC102" s="43"/>
      <c r="BD102" s="70"/>
    </row>
    <row r="103" spans="1:56">
      <c r="A103" s="42">
        <v>96</v>
      </c>
      <c r="B103" s="42" t="s">
        <v>481</v>
      </c>
      <c r="C103" s="56"/>
      <c r="D103" s="66" t="s">
        <v>482</v>
      </c>
      <c r="E103" s="68" t="s">
        <v>74</v>
      </c>
      <c r="F103" s="66" t="s">
        <v>48</v>
      </c>
      <c r="G103" s="69" t="s">
        <v>480</v>
      </c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 s="70"/>
      <c r="AX103" s="70"/>
      <c r="AY103" s="70"/>
      <c r="AZ103" s="70"/>
      <c r="BA103" s="70"/>
      <c r="BB103" s="43"/>
      <c r="BC103" s="43"/>
      <c r="BD103" s="70"/>
    </row>
    <row r="104" spans="1:56">
      <c r="A104" s="42">
        <v>97</v>
      </c>
      <c r="B104" s="42" t="s">
        <v>483</v>
      </c>
      <c r="C104" s="56"/>
      <c r="D104" s="66" t="s">
        <v>486</v>
      </c>
      <c r="E104" s="56" t="s">
        <v>77</v>
      </c>
      <c r="F104" s="66" t="s">
        <v>93</v>
      </c>
      <c r="G104" s="69" t="s">
        <v>480</v>
      </c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>
        <v>1</v>
      </c>
      <c r="AF104" s="45"/>
      <c r="AG104" s="45"/>
      <c r="AH104" s="45"/>
      <c r="AI104" s="45"/>
      <c r="AJ104" s="45"/>
      <c r="AK104" s="45"/>
      <c r="AL104" s="45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 s="70"/>
      <c r="AX104" s="70"/>
      <c r="AY104" s="70"/>
      <c r="AZ104" s="70"/>
      <c r="BA104" s="70"/>
      <c r="BB104" s="43"/>
      <c r="BC104" s="43"/>
      <c r="BD104" s="70"/>
    </row>
    <row r="105" spans="1:56">
      <c r="A105" s="42">
        <v>98</v>
      </c>
      <c r="B105" s="42" t="s">
        <v>487</v>
      </c>
      <c r="C105" s="56"/>
      <c r="D105" s="66" t="s">
        <v>484</v>
      </c>
      <c r="E105" s="68" t="s">
        <v>74</v>
      </c>
      <c r="F105" s="66" t="s">
        <v>48</v>
      </c>
      <c r="G105" s="69" t="s">
        <v>485</v>
      </c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  <c r="AW105" s="70"/>
      <c r="AX105" s="70"/>
      <c r="AY105" s="70"/>
      <c r="AZ105" s="70"/>
      <c r="BA105" s="70"/>
      <c r="BB105" s="43"/>
      <c r="BC105" s="43"/>
      <c r="BD105" s="70"/>
    </row>
    <row r="106" spans="1:56">
      <c r="A106" s="42">
        <v>99</v>
      </c>
      <c r="B106" s="42" t="s">
        <v>495</v>
      </c>
      <c r="C106" s="56"/>
      <c r="D106" s="66" t="s">
        <v>496</v>
      </c>
      <c r="E106" s="68" t="s">
        <v>74</v>
      </c>
      <c r="F106" s="66" t="s">
        <v>48</v>
      </c>
      <c r="G106" s="69" t="s">
        <v>497</v>
      </c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 s="70"/>
      <c r="AX106" s="70"/>
      <c r="AY106" s="70"/>
      <c r="AZ106" s="70"/>
      <c r="BA106" s="70"/>
      <c r="BB106" s="43"/>
      <c r="BC106" s="43"/>
      <c r="BD106" s="70"/>
    </row>
    <row r="107" spans="1:56">
      <c r="A107" s="42">
        <v>100</v>
      </c>
      <c r="B107" s="42" t="s">
        <v>506</v>
      </c>
      <c r="C107" s="56"/>
      <c r="D107" s="66" t="s">
        <v>516</v>
      </c>
      <c r="E107" s="68" t="s">
        <v>74</v>
      </c>
      <c r="F107" s="66" t="s">
        <v>48</v>
      </c>
      <c r="G107" s="69" t="s">
        <v>498</v>
      </c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  <c r="AW107" s="70"/>
      <c r="AX107" s="70"/>
      <c r="AY107" s="70"/>
      <c r="AZ107" s="70"/>
      <c r="BA107" s="70"/>
      <c r="BB107" s="43"/>
      <c r="BC107" s="43"/>
      <c r="BD107" s="70"/>
    </row>
    <row r="108" spans="1:56">
      <c r="A108" s="42">
        <v>101</v>
      </c>
      <c r="B108" s="42" t="s">
        <v>517</v>
      </c>
      <c r="D108" s="66" t="s">
        <v>518</v>
      </c>
      <c r="E108" s="68" t="s">
        <v>74</v>
      </c>
      <c r="F108" s="66" t="s">
        <v>19</v>
      </c>
      <c r="G108" s="69" t="s">
        <v>500</v>
      </c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 s="70"/>
      <c r="AX108" s="70"/>
      <c r="AY108" s="70"/>
      <c r="AZ108" s="70"/>
      <c r="BA108" s="70"/>
      <c r="BB108" s="43"/>
      <c r="BC108" s="43"/>
      <c r="BD108" s="70"/>
    </row>
  </sheetData>
  <autoFilter ref="A7:BF108" xr:uid="{82FAD525-2147-42FF-8A3D-589504BD34A3}"/>
  <mergeCells count="26">
    <mergeCell ref="F5:F7"/>
    <mergeCell ref="A5:A7"/>
    <mergeCell ref="B5:B7"/>
    <mergeCell ref="C5:C7"/>
    <mergeCell ref="D5:D7"/>
    <mergeCell ref="E5:E7"/>
    <mergeCell ref="G5:G7"/>
    <mergeCell ref="AM5:AM7"/>
    <mergeCell ref="AN5:AN7"/>
    <mergeCell ref="AO5:AO7"/>
    <mergeCell ref="AP5:AP7"/>
    <mergeCell ref="BD5:BD7"/>
    <mergeCell ref="H46:AL46"/>
    <mergeCell ref="AX5:AX7"/>
    <mergeCell ref="AY5:AY7"/>
    <mergeCell ref="AZ5:AZ7"/>
    <mergeCell ref="BA5:BA7"/>
    <mergeCell ref="BB5:BB7"/>
    <mergeCell ref="BC5:BC7"/>
    <mergeCell ref="AR5:AR7"/>
    <mergeCell ref="AS5:AS7"/>
    <mergeCell ref="AT5:AT7"/>
    <mergeCell ref="AU5:AU7"/>
    <mergeCell ref="AV5:AV7"/>
    <mergeCell ref="AW5:AW7"/>
    <mergeCell ref="AQ5:AQ7"/>
  </mergeCells>
  <phoneticPr fontId="35" type="noConversion"/>
  <conditionalFormatting sqref="A7:XFD7">
    <cfRule type="containsText" dxfId="6" priority="1" operator="containsText" text="CN">
      <formula>NOT(ISERROR(SEARCH("CN",A7)))</formula>
    </cfRule>
  </conditionalFormatting>
  <conditionalFormatting sqref="D1:D106 D109:D1048576">
    <cfRule type="duplicateValues" dxfId="5" priority="4"/>
  </conditionalFormatting>
  <conditionalFormatting sqref="D107">
    <cfRule type="duplicateValues" dxfId="4" priority="3"/>
  </conditionalFormatting>
  <conditionalFormatting sqref="D108">
    <cfRule type="duplicateValues" dxfId="3" priority="2"/>
  </conditionalFormatting>
  <pageMargins left="0.7" right="0.45" top="0.5" bottom="0.5" header="0.3" footer="0.3"/>
  <pageSetup paperSize="8" scale="61" fitToHeight="3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18F67-29B6-4FDA-BE9B-1CF826E149BB}">
  <dimension ref="A1:H103"/>
  <sheetViews>
    <sheetView topLeftCell="A67" workbookViewId="0">
      <selection activeCell="F91" sqref="F91"/>
    </sheetView>
  </sheetViews>
  <sheetFormatPr defaultRowHeight="15"/>
  <cols>
    <col min="1" max="1" width="4" bestFit="1" customWidth="1"/>
    <col min="2" max="2" width="8.28515625" bestFit="1" customWidth="1"/>
    <col min="3" max="3" width="8" bestFit="1" customWidth="1"/>
    <col min="4" max="4" width="22.85546875" bestFit="1" customWidth="1"/>
    <col min="5" max="5" width="18.28515625" bestFit="1" customWidth="1"/>
    <col min="6" max="6" width="33.85546875" bestFit="1" customWidth="1"/>
    <col min="7" max="7" width="12.85546875" style="104" bestFit="1" customWidth="1"/>
    <col min="8" max="8" width="16.28515625" bestFit="1" customWidth="1"/>
  </cols>
  <sheetData>
    <row r="1" spans="1:8">
      <c r="A1" t="s">
        <v>625</v>
      </c>
      <c r="B1" t="s">
        <v>627</v>
      </c>
      <c r="C1" t="s">
        <v>626</v>
      </c>
      <c r="D1" t="s">
        <v>628</v>
      </c>
      <c r="E1" t="s">
        <v>629</v>
      </c>
      <c r="F1" t="s">
        <v>630</v>
      </c>
      <c r="G1" s="104" t="s">
        <v>631</v>
      </c>
      <c r="H1" t="s">
        <v>632</v>
      </c>
    </row>
    <row r="2" spans="1:8">
      <c r="A2">
        <v>1</v>
      </c>
      <c r="B2" t="s">
        <v>55</v>
      </c>
      <c r="C2" t="s">
        <v>16</v>
      </c>
      <c r="D2" t="s">
        <v>17</v>
      </c>
      <c r="E2" t="s">
        <v>73</v>
      </c>
      <c r="F2" t="s">
        <v>15</v>
      </c>
      <c r="G2" s="104" t="s">
        <v>203</v>
      </c>
      <c r="H2" t="s">
        <v>523</v>
      </c>
    </row>
    <row r="3" spans="1:8">
      <c r="A3">
        <v>2</v>
      </c>
      <c r="B3" t="s">
        <v>57</v>
      </c>
      <c r="C3" t="s">
        <v>23</v>
      </c>
      <c r="D3" t="s">
        <v>24</v>
      </c>
      <c r="E3" t="s">
        <v>75</v>
      </c>
      <c r="F3" t="s">
        <v>22</v>
      </c>
      <c r="G3" s="104" t="s">
        <v>25</v>
      </c>
      <c r="H3" t="s">
        <v>524</v>
      </c>
    </row>
    <row r="4" spans="1:8">
      <c r="A4">
        <v>3</v>
      </c>
      <c r="B4" t="s">
        <v>58</v>
      </c>
      <c r="D4" t="s">
        <v>27</v>
      </c>
      <c r="E4" t="s">
        <v>76</v>
      </c>
      <c r="F4" t="s">
        <v>28</v>
      </c>
      <c r="G4" s="104" t="s">
        <v>29</v>
      </c>
      <c r="H4" t="s">
        <v>525</v>
      </c>
    </row>
    <row r="5" spans="1:8">
      <c r="A5">
        <v>4</v>
      </c>
      <c r="B5" t="s">
        <v>59</v>
      </c>
      <c r="C5">
        <v>1014338</v>
      </c>
      <c r="D5" t="s">
        <v>33</v>
      </c>
      <c r="E5" t="s">
        <v>73</v>
      </c>
      <c r="F5" t="s">
        <v>34</v>
      </c>
      <c r="G5" s="104" t="s">
        <v>32</v>
      </c>
      <c r="H5" t="s">
        <v>526</v>
      </c>
    </row>
    <row r="6" spans="1:8">
      <c r="A6">
        <v>5</v>
      </c>
      <c r="B6" t="s">
        <v>60</v>
      </c>
      <c r="C6">
        <v>1014359</v>
      </c>
      <c r="D6" t="s">
        <v>36</v>
      </c>
      <c r="E6" t="s">
        <v>78</v>
      </c>
      <c r="F6" t="s">
        <v>37</v>
      </c>
      <c r="G6" s="104" t="s">
        <v>35</v>
      </c>
      <c r="H6" t="s">
        <v>527</v>
      </c>
    </row>
    <row r="7" spans="1:8">
      <c r="A7">
        <v>6</v>
      </c>
      <c r="B7" t="s">
        <v>61</v>
      </c>
      <c r="D7" t="s">
        <v>38</v>
      </c>
      <c r="E7" t="s">
        <v>95</v>
      </c>
      <c r="F7" t="s">
        <v>43</v>
      </c>
      <c r="G7" s="104" t="s">
        <v>51</v>
      </c>
      <c r="H7" t="s">
        <v>528</v>
      </c>
    </row>
    <row r="8" spans="1:8">
      <c r="A8">
        <v>7</v>
      </c>
      <c r="B8" t="s">
        <v>62</v>
      </c>
      <c r="D8" t="s">
        <v>39</v>
      </c>
      <c r="E8" t="s">
        <v>78</v>
      </c>
      <c r="F8" t="s">
        <v>44</v>
      </c>
      <c r="G8" s="104" t="s">
        <v>51</v>
      </c>
      <c r="H8" t="s">
        <v>529</v>
      </c>
    </row>
    <row r="9" spans="1:8">
      <c r="A9">
        <v>8</v>
      </c>
      <c r="B9" t="s">
        <v>65</v>
      </c>
      <c r="D9" t="s">
        <v>42</v>
      </c>
      <c r="E9" t="s">
        <v>74</v>
      </c>
      <c r="F9" t="s">
        <v>47</v>
      </c>
      <c r="G9" s="104" t="s">
        <v>53</v>
      </c>
      <c r="H9" t="s">
        <v>530</v>
      </c>
    </row>
    <row r="10" spans="1:8">
      <c r="A10">
        <v>9</v>
      </c>
      <c r="B10" t="s">
        <v>66</v>
      </c>
      <c r="D10" t="s">
        <v>70</v>
      </c>
      <c r="E10" t="s">
        <v>95</v>
      </c>
      <c r="F10" t="s">
        <v>50</v>
      </c>
      <c r="G10" s="104" t="s">
        <v>54</v>
      </c>
      <c r="H10" t="s">
        <v>531</v>
      </c>
    </row>
    <row r="11" spans="1:8">
      <c r="A11">
        <v>10</v>
      </c>
      <c r="B11" t="s">
        <v>67</v>
      </c>
      <c r="D11" t="s">
        <v>72</v>
      </c>
      <c r="E11" t="s">
        <v>74</v>
      </c>
      <c r="F11" t="s">
        <v>48</v>
      </c>
      <c r="G11" s="104" t="s">
        <v>54</v>
      </c>
      <c r="H11" t="s">
        <v>532</v>
      </c>
    </row>
    <row r="12" spans="1:8">
      <c r="A12">
        <v>11</v>
      </c>
      <c r="B12" t="s">
        <v>69</v>
      </c>
      <c r="D12" t="s">
        <v>83</v>
      </c>
      <c r="E12" t="s">
        <v>78</v>
      </c>
      <c r="F12" t="s">
        <v>44</v>
      </c>
      <c r="G12" s="104" t="s">
        <v>84</v>
      </c>
      <c r="H12" t="s">
        <v>533</v>
      </c>
    </row>
    <row r="13" spans="1:8">
      <c r="A13">
        <v>12</v>
      </c>
      <c r="B13" t="s">
        <v>71</v>
      </c>
      <c r="D13" t="s">
        <v>431</v>
      </c>
      <c r="E13" t="s">
        <v>95</v>
      </c>
      <c r="F13" t="s">
        <v>105</v>
      </c>
      <c r="G13" s="104" t="s">
        <v>92</v>
      </c>
      <c r="H13" t="s">
        <v>534</v>
      </c>
    </row>
    <row r="14" spans="1:8">
      <c r="A14">
        <v>13</v>
      </c>
      <c r="B14" t="s">
        <v>80</v>
      </c>
      <c r="D14" t="s">
        <v>118</v>
      </c>
      <c r="E14" t="s">
        <v>77</v>
      </c>
      <c r="F14" t="s">
        <v>93</v>
      </c>
      <c r="G14" s="104" t="s">
        <v>94</v>
      </c>
      <c r="H14" t="s">
        <v>535</v>
      </c>
    </row>
    <row r="15" spans="1:8">
      <c r="A15">
        <v>14</v>
      </c>
      <c r="B15" t="s">
        <v>81</v>
      </c>
      <c r="D15" t="s">
        <v>86</v>
      </c>
      <c r="E15" t="s">
        <v>95</v>
      </c>
      <c r="F15" t="s">
        <v>96</v>
      </c>
      <c r="G15" s="104" t="s">
        <v>123</v>
      </c>
      <c r="H15" t="s">
        <v>536</v>
      </c>
    </row>
    <row r="16" spans="1:8">
      <c r="A16">
        <v>15</v>
      </c>
      <c r="B16" t="s">
        <v>85</v>
      </c>
      <c r="D16" t="s">
        <v>87</v>
      </c>
      <c r="E16" t="s">
        <v>95</v>
      </c>
      <c r="F16" t="s">
        <v>97</v>
      </c>
      <c r="G16" s="104" t="s">
        <v>123</v>
      </c>
      <c r="H16" t="s">
        <v>537</v>
      </c>
    </row>
    <row r="17" spans="1:8">
      <c r="A17">
        <v>16</v>
      </c>
      <c r="B17" t="s">
        <v>89</v>
      </c>
      <c r="D17" t="s">
        <v>88</v>
      </c>
      <c r="E17" t="s">
        <v>95</v>
      </c>
      <c r="F17" t="s">
        <v>105</v>
      </c>
      <c r="G17" s="104" t="s">
        <v>98</v>
      </c>
      <c r="H17" t="s">
        <v>538</v>
      </c>
    </row>
    <row r="18" spans="1:8">
      <c r="A18">
        <v>17</v>
      </c>
      <c r="B18" t="s">
        <v>90</v>
      </c>
      <c r="D18" t="s">
        <v>106</v>
      </c>
      <c r="E18" t="s">
        <v>95</v>
      </c>
      <c r="F18" t="s">
        <v>97</v>
      </c>
      <c r="G18" s="105" t="s">
        <v>633</v>
      </c>
      <c r="H18" t="s">
        <v>539</v>
      </c>
    </row>
    <row r="19" spans="1:8">
      <c r="A19">
        <v>18</v>
      </c>
      <c r="B19" t="s">
        <v>91</v>
      </c>
      <c r="D19" t="s">
        <v>110</v>
      </c>
      <c r="E19" t="s">
        <v>73</v>
      </c>
      <c r="F19" t="s">
        <v>112</v>
      </c>
      <c r="G19" s="104" t="s">
        <v>113</v>
      </c>
      <c r="H19" t="s">
        <v>540</v>
      </c>
    </row>
    <row r="20" spans="1:8">
      <c r="A20">
        <v>19</v>
      </c>
      <c r="B20" t="s">
        <v>108</v>
      </c>
      <c r="D20" t="s">
        <v>159</v>
      </c>
      <c r="E20" t="s">
        <v>74</v>
      </c>
      <c r="F20" t="s">
        <v>48</v>
      </c>
      <c r="G20" s="104" t="s">
        <v>115</v>
      </c>
      <c r="H20" t="s">
        <v>541</v>
      </c>
    </row>
    <row r="21" spans="1:8">
      <c r="A21">
        <v>20</v>
      </c>
      <c r="B21" t="s">
        <v>147</v>
      </c>
      <c r="D21" t="s">
        <v>125</v>
      </c>
      <c r="E21" t="s">
        <v>146</v>
      </c>
      <c r="F21" t="s">
        <v>30</v>
      </c>
      <c r="G21" s="104" t="s">
        <v>139</v>
      </c>
      <c r="H21" t="s">
        <v>542</v>
      </c>
    </row>
    <row r="22" spans="1:8">
      <c r="A22">
        <v>21</v>
      </c>
      <c r="B22" t="s">
        <v>148</v>
      </c>
      <c r="D22" t="s">
        <v>126</v>
      </c>
      <c r="E22" t="s">
        <v>146</v>
      </c>
      <c r="F22" t="s">
        <v>31</v>
      </c>
      <c r="G22" s="104" t="s">
        <v>139</v>
      </c>
      <c r="H22" t="s">
        <v>543</v>
      </c>
    </row>
    <row r="23" spans="1:8">
      <c r="A23">
        <v>22</v>
      </c>
      <c r="B23" t="s">
        <v>150</v>
      </c>
      <c r="D23" t="s">
        <v>128</v>
      </c>
      <c r="E23" t="s">
        <v>74</v>
      </c>
      <c r="F23" t="s">
        <v>48</v>
      </c>
      <c r="G23" s="104" t="s">
        <v>141</v>
      </c>
      <c r="H23" t="s">
        <v>544</v>
      </c>
    </row>
    <row r="24" spans="1:8">
      <c r="A24">
        <v>23</v>
      </c>
      <c r="B24" t="s">
        <v>151</v>
      </c>
      <c r="D24" t="s">
        <v>129</v>
      </c>
      <c r="E24" t="s">
        <v>146</v>
      </c>
      <c r="F24" t="s">
        <v>138</v>
      </c>
      <c r="G24" s="104" t="s">
        <v>142</v>
      </c>
      <c r="H24" t="s">
        <v>545</v>
      </c>
    </row>
    <row r="25" spans="1:8">
      <c r="A25">
        <v>24</v>
      </c>
      <c r="B25" t="s">
        <v>152</v>
      </c>
      <c r="D25" t="s">
        <v>130</v>
      </c>
      <c r="E25" t="s">
        <v>74</v>
      </c>
      <c r="F25" t="s">
        <v>49</v>
      </c>
      <c r="G25" s="104" t="s">
        <v>143</v>
      </c>
      <c r="H25" t="s">
        <v>546</v>
      </c>
    </row>
    <row r="26" spans="1:8">
      <c r="A26">
        <v>25</v>
      </c>
      <c r="B26" t="s">
        <v>153</v>
      </c>
      <c r="D26" t="s">
        <v>131</v>
      </c>
      <c r="E26" t="s">
        <v>74</v>
      </c>
      <c r="F26" t="s">
        <v>49</v>
      </c>
      <c r="G26" s="104" t="s">
        <v>143</v>
      </c>
      <c r="H26" t="s">
        <v>547</v>
      </c>
    </row>
    <row r="27" spans="1:8">
      <c r="A27">
        <v>26</v>
      </c>
      <c r="B27" t="s">
        <v>155</v>
      </c>
      <c r="D27" t="s">
        <v>133</v>
      </c>
      <c r="E27" t="s">
        <v>74</v>
      </c>
      <c r="F27" t="s">
        <v>48</v>
      </c>
      <c r="G27" s="104" t="s">
        <v>144</v>
      </c>
      <c r="H27" t="s">
        <v>548</v>
      </c>
    </row>
    <row r="28" spans="1:8">
      <c r="A28">
        <v>27</v>
      </c>
      <c r="B28" t="s">
        <v>450</v>
      </c>
      <c r="D28" t="s">
        <v>441</v>
      </c>
      <c r="E28" t="s">
        <v>74</v>
      </c>
      <c r="F28" t="s">
        <v>48</v>
      </c>
      <c r="G28" s="104" t="s">
        <v>446</v>
      </c>
      <c r="H28" t="s">
        <v>549</v>
      </c>
    </row>
    <row r="29" spans="1:8">
      <c r="A29">
        <v>28</v>
      </c>
      <c r="B29" t="s">
        <v>156</v>
      </c>
      <c r="D29" t="s">
        <v>134</v>
      </c>
      <c r="E29" t="s">
        <v>74</v>
      </c>
      <c r="F29" t="s">
        <v>49</v>
      </c>
      <c r="G29" s="104" t="s">
        <v>145</v>
      </c>
      <c r="H29" t="s">
        <v>550</v>
      </c>
    </row>
    <row r="30" spans="1:8">
      <c r="A30">
        <v>29</v>
      </c>
      <c r="B30" t="s">
        <v>157</v>
      </c>
      <c r="D30" t="s">
        <v>135</v>
      </c>
      <c r="E30" t="s">
        <v>74</v>
      </c>
      <c r="F30" t="s">
        <v>48</v>
      </c>
      <c r="G30" s="104" t="s">
        <v>145</v>
      </c>
      <c r="H30" t="s">
        <v>551</v>
      </c>
    </row>
    <row r="31" spans="1:8">
      <c r="A31">
        <v>30</v>
      </c>
      <c r="B31" t="s">
        <v>158</v>
      </c>
      <c r="D31" t="s">
        <v>136</v>
      </c>
      <c r="E31" t="s">
        <v>74</v>
      </c>
      <c r="F31" t="s">
        <v>48</v>
      </c>
      <c r="G31" s="104" t="s">
        <v>145</v>
      </c>
      <c r="H31" t="s">
        <v>552</v>
      </c>
    </row>
    <row r="32" spans="1:8">
      <c r="A32">
        <v>31</v>
      </c>
      <c r="B32" t="s">
        <v>174</v>
      </c>
      <c r="D32" t="s">
        <v>165</v>
      </c>
      <c r="E32" t="s">
        <v>74</v>
      </c>
      <c r="F32" t="s">
        <v>48</v>
      </c>
      <c r="G32" s="104" t="s">
        <v>170</v>
      </c>
      <c r="H32" t="s">
        <v>553</v>
      </c>
    </row>
    <row r="33" spans="1:8">
      <c r="A33">
        <v>32</v>
      </c>
      <c r="B33" t="s">
        <v>176</v>
      </c>
      <c r="D33" t="s">
        <v>167</v>
      </c>
      <c r="E33" t="s">
        <v>74</v>
      </c>
      <c r="F33" t="s">
        <v>48</v>
      </c>
      <c r="G33" s="104" t="s">
        <v>171</v>
      </c>
      <c r="H33" t="s">
        <v>554</v>
      </c>
    </row>
    <row r="34" spans="1:8">
      <c r="A34">
        <v>33</v>
      </c>
      <c r="B34" t="s">
        <v>178</v>
      </c>
      <c r="D34" t="s">
        <v>169</v>
      </c>
      <c r="E34" t="s">
        <v>74</v>
      </c>
      <c r="F34" t="s">
        <v>48</v>
      </c>
      <c r="G34" s="104" t="s">
        <v>173</v>
      </c>
      <c r="H34" t="s">
        <v>555</v>
      </c>
    </row>
    <row r="35" spans="1:8">
      <c r="A35">
        <v>34</v>
      </c>
      <c r="B35" t="s">
        <v>184</v>
      </c>
      <c r="D35" t="s">
        <v>181</v>
      </c>
      <c r="E35" t="s">
        <v>74</v>
      </c>
      <c r="F35" t="s">
        <v>48</v>
      </c>
      <c r="G35" s="104" t="s">
        <v>182</v>
      </c>
      <c r="H35" t="s">
        <v>556</v>
      </c>
    </row>
    <row r="36" spans="1:8">
      <c r="A36">
        <v>35</v>
      </c>
      <c r="B36" t="s">
        <v>432</v>
      </c>
      <c r="D36" t="s">
        <v>413</v>
      </c>
      <c r="E36" t="s">
        <v>74</v>
      </c>
      <c r="F36" t="s">
        <v>197</v>
      </c>
      <c r="G36" s="104" t="s">
        <v>412</v>
      </c>
      <c r="H36" t="s">
        <v>557</v>
      </c>
    </row>
    <row r="37" spans="1:8">
      <c r="A37">
        <v>36</v>
      </c>
      <c r="B37" t="s">
        <v>451</v>
      </c>
      <c r="D37" t="s">
        <v>443</v>
      </c>
      <c r="E37" t="s">
        <v>74</v>
      </c>
      <c r="F37" t="s">
        <v>48</v>
      </c>
      <c r="G37" s="104" t="s">
        <v>448</v>
      </c>
      <c r="H37" t="s">
        <v>558</v>
      </c>
    </row>
    <row r="38" spans="1:8">
      <c r="A38">
        <v>37</v>
      </c>
      <c r="B38" t="s">
        <v>185</v>
      </c>
      <c r="D38" t="s">
        <v>183</v>
      </c>
      <c r="E38" t="s">
        <v>74</v>
      </c>
      <c r="F38" t="s">
        <v>48</v>
      </c>
      <c r="G38" s="104" t="s">
        <v>187</v>
      </c>
      <c r="H38" t="s">
        <v>559</v>
      </c>
    </row>
    <row r="39" spans="1:8">
      <c r="A39">
        <v>38</v>
      </c>
      <c r="B39" t="s">
        <v>192</v>
      </c>
      <c r="D39" t="s">
        <v>191</v>
      </c>
      <c r="E39" t="s">
        <v>74</v>
      </c>
      <c r="F39" t="s">
        <v>48</v>
      </c>
      <c r="G39" s="104" t="s">
        <v>193</v>
      </c>
      <c r="H39" t="s">
        <v>560</v>
      </c>
    </row>
    <row r="40" spans="1:8">
      <c r="A40">
        <v>39</v>
      </c>
      <c r="B40" t="s">
        <v>433</v>
      </c>
      <c r="D40" t="s">
        <v>416</v>
      </c>
      <c r="E40" t="s">
        <v>74</v>
      </c>
      <c r="F40" t="s">
        <v>197</v>
      </c>
      <c r="G40" s="104" t="s">
        <v>417</v>
      </c>
      <c r="H40" t="s">
        <v>561</v>
      </c>
    </row>
    <row r="41" spans="1:8">
      <c r="A41">
        <v>40</v>
      </c>
      <c r="B41" t="s">
        <v>201</v>
      </c>
      <c r="D41" t="s">
        <v>195</v>
      </c>
      <c r="E41" t="s">
        <v>74</v>
      </c>
      <c r="F41" t="s">
        <v>197</v>
      </c>
      <c r="G41" s="104" t="s">
        <v>199</v>
      </c>
      <c r="H41" t="s">
        <v>562</v>
      </c>
    </row>
    <row r="42" spans="1:8">
      <c r="A42">
        <v>41</v>
      </c>
      <c r="B42" t="s">
        <v>202</v>
      </c>
      <c r="D42" t="s">
        <v>196</v>
      </c>
      <c r="E42" t="s">
        <v>74</v>
      </c>
      <c r="F42" t="s">
        <v>197</v>
      </c>
      <c r="G42" s="104" t="s">
        <v>199</v>
      </c>
      <c r="H42" t="s">
        <v>563</v>
      </c>
    </row>
    <row r="43" spans="1:8">
      <c r="A43">
        <v>42</v>
      </c>
      <c r="B43" t="s">
        <v>434</v>
      </c>
      <c r="D43" t="s">
        <v>418</v>
      </c>
      <c r="E43" t="s">
        <v>74</v>
      </c>
      <c r="F43" t="s">
        <v>197</v>
      </c>
      <c r="G43" s="104" t="s">
        <v>417</v>
      </c>
      <c r="H43" t="s">
        <v>564</v>
      </c>
    </row>
    <row r="44" spans="1:8">
      <c r="A44">
        <v>43</v>
      </c>
      <c r="B44" t="s">
        <v>206</v>
      </c>
      <c r="D44" t="s">
        <v>207</v>
      </c>
      <c r="E44" t="s">
        <v>74</v>
      </c>
      <c r="F44" t="s">
        <v>197</v>
      </c>
      <c r="G44" s="104" t="s">
        <v>208</v>
      </c>
      <c r="H44" t="s">
        <v>565</v>
      </c>
    </row>
    <row r="45" spans="1:8">
      <c r="A45">
        <v>44</v>
      </c>
      <c r="B45" t="s">
        <v>211</v>
      </c>
      <c r="D45" t="s">
        <v>215</v>
      </c>
      <c r="E45" t="s">
        <v>74</v>
      </c>
      <c r="F45" t="s">
        <v>197</v>
      </c>
      <c r="G45" s="104" t="s">
        <v>208</v>
      </c>
      <c r="H45" t="s">
        <v>566</v>
      </c>
    </row>
    <row r="46" spans="1:8">
      <c r="A46">
        <v>45</v>
      </c>
      <c r="B46" t="s">
        <v>212</v>
      </c>
      <c r="D46" t="s">
        <v>216</v>
      </c>
      <c r="E46" t="s">
        <v>74</v>
      </c>
      <c r="F46" t="s">
        <v>197</v>
      </c>
      <c r="G46" s="104" t="s">
        <v>208</v>
      </c>
      <c r="H46" t="s">
        <v>567</v>
      </c>
    </row>
    <row r="47" spans="1:8">
      <c r="A47">
        <v>46</v>
      </c>
      <c r="B47" t="s">
        <v>221</v>
      </c>
      <c r="D47" t="s">
        <v>223</v>
      </c>
      <c r="E47" t="s">
        <v>74</v>
      </c>
      <c r="F47" t="s">
        <v>197</v>
      </c>
      <c r="G47" s="104" t="s">
        <v>224</v>
      </c>
      <c r="H47" t="s">
        <v>568</v>
      </c>
    </row>
    <row r="48" spans="1:8">
      <c r="A48">
        <v>47</v>
      </c>
      <c r="B48" t="s">
        <v>228</v>
      </c>
      <c r="D48" t="s">
        <v>229</v>
      </c>
      <c r="E48" t="s">
        <v>95</v>
      </c>
      <c r="F48" t="s">
        <v>230</v>
      </c>
      <c r="G48" s="104" t="s">
        <v>231</v>
      </c>
      <c r="H48" t="s">
        <v>569</v>
      </c>
    </row>
    <row r="49" spans="1:8">
      <c r="A49">
        <v>48</v>
      </c>
      <c r="B49" t="s">
        <v>234</v>
      </c>
      <c r="D49" t="s">
        <v>235</v>
      </c>
      <c r="E49" t="s">
        <v>74</v>
      </c>
      <c r="F49" t="s">
        <v>197</v>
      </c>
      <c r="G49" s="104" t="s">
        <v>236</v>
      </c>
      <c r="H49" t="s">
        <v>570</v>
      </c>
    </row>
    <row r="50" spans="1:8">
      <c r="A50">
        <v>49</v>
      </c>
      <c r="B50" t="s">
        <v>254</v>
      </c>
      <c r="D50" t="s">
        <v>240</v>
      </c>
      <c r="E50" t="s">
        <v>74</v>
      </c>
      <c r="F50" t="s">
        <v>197</v>
      </c>
      <c r="G50" s="104" t="s">
        <v>246</v>
      </c>
      <c r="H50" t="s">
        <v>571</v>
      </c>
    </row>
    <row r="51" spans="1:8">
      <c r="A51">
        <v>50</v>
      </c>
      <c r="B51" t="s">
        <v>266</v>
      </c>
      <c r="D51" t="s">
        <v>242</v>
      </c>
      <c r="E51" t="s">
        <v>74</v>
      </c>
      <c r="F51" t="s">
        <v>197</v>
      </c>
      <c r="G51" s="104" t="s">
        <v>247</v>
      </c>
      <c r="H51" t="s">
        <v>572</v>
      </c>
    </row>
    <row r="52" spans="1:8">
      <c r="A52">
        <v>51</v>
      </c>
      <c r="B52" t="s">
        <v>257</v>
      </c>
      <c r="D52" t="s">
        <v>244</v>
      </c>
      <c r="E52" t="s">
        <v>95</v>
      </c>
      <c r="F52" t="s">
        <v>105</v>
      </c>
      <c r="G52" s="104" t="s">
        <v>250</v>
      </c>
      <c r="H52" t="s">
        <v>573</v>
      </c>
    </row>
    <row r="53" spans="1:8">
      <c r="A53">
        <v>52</v>
      </c>
      <c r="B53" t="s">
        <v>258</v>
      </c>
      <c r="D53" t="s">
        <v>261</v>
      </c>
      <c r="E53" t="s">
        <v>95</v>
      </c>
      <c r="F53" t="s">
        <v>96</v>
      </c>
      <c r="G53" s="104" t="s">
        <v>264</v>
      </c>
      <c r="H53" t="s">
        <v>574</v>
      </c>
    </row>
    <row r="54" spans="1:8">
      <c r="A54">
        <v>53</v>
      </c>
      <c r="B54" t="s">
        <v>260</v>
      </c>
      <c r="D54" t="s">
        <v>263</v>
      </c>
      <c r="E54" t="s">
        <v>95</v>
      </c>
      <c r="F54" t="s">
        <v>105</v>
      </c>
      <c r="G54" s="104" t="s">
        <v>265</v>
      </c>
      <c r="H54" t="s">
        <v>575</v>
      </c>
    </row>
    <row r="55" spans="1:8">
      <c r="A55">
        <v>54</v>
      </c>
      <c r="B55" t="s">
        <v>274</v>
      </c>
      <c r="D55" t="s">
        <v>279</v>
      </c>
      <c r="E55" t="s">
        <v>74</v>
      </c>
      <c r="F55" t="s">
        <v>197</v>
      </c>
      <c r="G55" s="104" t="s">
        <v>249</v>
      </c>
      <c r="H55" t="s">
        <v>576</v>
      </c>
    </row>
    <row r="56" spans="1:8">
      <c r="A56">
        <v>55</v>
      </c>
      <c r="B56" t="s">
        <v>275</v>
      </c>
      <c r="D56" t="s">
        <v>280</v>
      </c>
      <c r="E56" t="s">
        <v>74</v>
      </c>
      <c r="F56" t="s">
        <v>197</v>
      </c>
      <c r="G56" s="104" t="s">
        <v>281</v>
      </c>
      <c r="H56" t="s">
        <v>577</v>
      </c>
    </row>
    <row r="57" spans="1:8">
      <c r="A57">
        <v>56</v>
      </c>
      <c r="B57" t="s">
        <v>276</v>
      </c>
      <c r="D57" t="s">
        <v>282</v>
      </c>
      <c r="E57" t="s">
        <v>74</v>
      </c>
      <c r="F57" t="s">
        <v>197</v>
      </c>
      <c r="G57" s="104" t="s">
        <v>281</v>
      </c>
      <c r="H57" t="s">
        <v>578</v>
      </c>
    </row>
    <row r="58" spans="1:8">
      <c r="A58">
        <v>57</v>
      </c>
      <c r="B58" t="s">
        <v>298</v>
      </c>
      <c r="D58" t="s">
        <v>286</v>
      </c>
      <c r="E58" t="s">
        <v>74</v>
      </c>
      <c r="F58" t="s">
        <v>197</v>
      </c>
      <c r="G58" s="104" t="s">
        <v>291</v>
      </c>
      <c r="H58" t="s">
        <v>579</v>
      </c>
    </row>
    <row r="59" spans="1:8">
      <c r="A59">
        <v>58</v>
      </c>
      <c r="B59" t="s">
        <v>294</v>
      </c>
      <c r="D59" t="s">
        <v>288</v>
      </c>
      <c r="E59" t="s">
        <v>74</v>
      </c>
      <c r="F59" t="s">
        <v>197</v>
      </c>
      <c r="G59" s="104" t="s">
        <v>297</v>
      </c>
      <c r="H59" t="s">
        <v>580</v>
      </c>
    </row>
    <row r="60" spans="1:8">
      <c r="A60">
        <v>59</v>
      </c>
      <c r="B60" t="s">
        <v>295</v>
      </c>
      <c r="D60" t="s">
        <v>290</v>
      </c>
      <c r="E60" t="s">
        <v>74</v>
      </c>
      <c r="F60" t="s">
        <v>197</v>
      </c>
      <c r="G60" s="104" t="s">
        <v>297</v>
      </c>
      <c r="H60" t="s">
        <v>581</v>
      </c>
    </row>
    <row r="61" spans="1:8">
      <c r="A61">
        <v>60</v>
      </c>
      <c r="B61" t="s">
        <v>296</v>
      </c>
      <c r="D61" t="s">
        <v>289</v>
      </c>
      <c r="E61" t="s">
        <v>74</v>
      </c>
      <c r="F61" t="s">
        <v>197</v>
      </c>
      <c r="G61" s="104" t="s">
        <v>297</v>
      </c>
      <c r="H61" t="s">
        <v>582</v>
      </c>
    </row>
    <row r="62" spans="1:8">
      <c r="A62">
        <v>61</v>
      </c>
      <c r="B62" t="s">
        <v>313</v>
      </c>
      <c r="D62" t="s">
        <v>314</v>
      </c>
      <c r="E62" t="s">
        <v>95</v>
      </c>
      <c r="F62" t="s">
        <v>105</v>
      </c>
      <c r="G62" s="104" t="s">
        <v>315</v>
      </c>
      <c r="H62" t="s">
        <v>583</v>
      </c>
    </row>
    <row r="63" spans="1:8">
      <c r="A63">
        <v>62</v>
      </c>
      <c r="B63" t="s">
        <v>316</v>
      </c>
      <c r="D63" t="s">
        <v>317</v>
      </c>
      <c r="E63" t="s">
        <v>78</v>
      </c>
      <c r="F63" t="s">
        <v>318</v>
      </c>
      <c r="G63" s="104" t="s">
        <v>319</v>
      </c>
      <c r="H63" t="s">
        <v>584</v>
      </c>
    </row>
    <row r="64" spans="1:8">
      <c r="A64">
        <v>63</v>
      </c>
      <c r="B64" t="s">
        <v>322</v>
      </c>
      <c r="D64" t="s">
        <v>323</v>
      </c>
      <c r="E64" t="s">
        <v>78</v>
      </c>
      <c r="F64" t="s">
        <v>324</v>
      </c>
      <c r="G64" s="104" t="s">
        <v>325</v>
      </c>
      <c r="H64" t="s">
        <v>585</v>
      </c>
    </row>
    <row r="65" spans="1:8">
      <c r="A65">
        <v>64</v>
      </c>
      <c r="B65" t="s">
        <v>326</v>
      </c>
      <c r="D65" t="s">
        <v>327</v>
      </c>
      <c r="E65" t="s">
        <v>74</v>
      </c>
      <c r="F65" t="s">
        <v>197</v>
      </c>
      <c r="G65" s="104" t="s">
        <v>328</v>
      </c>
      <c r="H65" t="s">
        <v>586</v>
      </c>
    </row>
    <row r="66" spans="1:8">
      <c r="A66">
        <v>65</v>
      </c>
      <c r="B66" t="s">
        <v>445</v>
      </c>
      <c r="D66" t="s">
        <v>334</v>
      </c>
      <c r="E66" t="s">
        <v>74</v>
      </c>
      <c r="F66" t="s">
        <v>48</v>
      </c>
      <c r="G66" s="104" t="s">
        <v>448</v>
      </c>
      <c r="H66" t="s">
        <v>587</v>
      </c>
    </row>
    <row r="67" spans="1:8">
      <c r="A67">
        <v>66</v>
      </c>
      <c r="B67" t="s">
        <v>355</v>
      </c>
      <c r="D67" t="s">
        <v>335</v>
      </c>
      <c r="E67" t="s">
        <v>74</v>
      </c>
      <c r="F67" t="s">
        <v>197</v>
      </c>
      <c r="G67" s="104" t="s">
        <v>353</v>
      </c>
      <c r="H67" t="s">
        <v>588</v>
      </c>
    </row>
    <row r="68" spans="1:8">
      <c r="A68">
        <v>67</v>
      </c>
      <c r="B68" t="s">
        <v>356</v>
      </c>
      <c r="D68" t="s">
        <v>336</v>
      </c>
      <c r="E68" t="s">
        <v>77</v>
      </c>
      <c r="F68" t="s">
        <v>93</v>
      </c>
      <c r="G68" s="104" t="s">
        <v>347</v>
      </c>
      <c r="H68" t="s">
        <v>589</v>
      </c>
    </row>
    <row r="69" spans="1:8">
      <c r="A69">
        <v>68</v>
      </c>
      <c r="B69" t="s">
        <v>358</v>
      </c>
      <c r="D69" t="s">
        <v>338</v>
      </c>
      <c r="E69" t="s">
        <v>74</v>
      </c>
      <c r="F69" t="s">
        <v>197</v>
      </c>
      <c r="G69" s="104" t="s">
        <v>348</v>
      </c>
      <c r="H69" t="s">
        <v>590</v>
      </c>
    </row>
    <row r="70" spans="1:8">
      <c r="A70">
        <v>69</v>
      </c>
      <c r="B70" t="s">
        <v>359</v>
      </c>
      <c r="D70" t="s">
        <v>339</v>
      </c>
      <c r="E70" t="s">
        <v>74</v>
      </c>
      <c r="F70" t="s">
        <v>197</v>
      </c>
      <c r="G70" s="104" t="s">
        <v>349</v>
      </c>
      <c r="H70" t="s">
        <v>591</v>
      </c>
    </row>
    <row r="71" spans="1:8">
      <c r="A71">
        <v>70</v>
      </c>
      <c r="B71" t="s">
        <v>361</v>
      </c>
      <c r="D71" t="s">
        <v>341</v>
      </c>
      <c r="E71" t="s">
        <v>74</v>
      </c>
      <c r="F71" t="s">
        <v>197</v>
      </c>
      <c r="G71" s="104" t="s">
        <v>349</v>
      </c>
      <c r="H71" t="s">
        <v>592</v>
      </c>
    </row>
    <row r="72" spans="1:8">
      <c r="A72">
        <v>71</v>
      </c>
      <c r="B72" t="s">
        <v>363</v>
      </c>
      <c r="D72" t="s">
        <v>243</v>
      </c>
      <c r="E72" t="s">
        <v>74</v>
      </c>
      <c r="F72" t="s">
        <v>197</v>
      </c>
      <c r="G72" s="104" t="s">
        <v>349</v>
      </c>
      <c r="H72" t="s">
        <v>593</v>
      </c>
    </row>
    <row r="73" spans="1:8">
      <c r="A73">
        <v>72</v>
      </c>
      <c r="B73" t="s">
        <v>366</v>
      </c>
      <c r="D73" t="s">
        <v>343</v>
      </c>
      <c r="E73" t="s">
        <v>74</v>
      </c>
      <c r="F73" t="s">
        <v>197</v>
      </c>
      <c r="G73" s="104" t="s">
        <v>351</v>
      </c>
      <c r="H73" t="s">
        <v>594</v>
      </c>
    </row>
    <row r="74" spans="1:8">
      <c r="A74">
        <v>73</v>
      </c>
      <c r="B74" t="s">
        <v>368</v>
      </c>
      <c r="D74" t="s">
        <v>285</v>
      </c>
      <c r="E74" t="s">
        <v>74</v>
      </c>
      <c r="F74" t="s">
        <v>197</v>
      </c>
      <c r="G74" s="104" t="s">
        <v>351</v>
      </c>
      <c r="H74" t="s">
        <v>595</v>
      </c>
    </row>
    <row r="75" spans="1:8">
      <c r="A75">
        <v>74</v>
      </c>
      <c r="B75" t="s">
        <v>369</v>
      </c>
      <c r="D75" t="s">
        <v>283</v>
      </c>
      <c r="E75" t="s">
        <v>74</v>
      </c>
      <c r="F75" t="s">
        <v>197</v>
      </c>
      <c r="G75" s="104" t="s">
        <v>351</v>
      </c>
      <c r="H75" t="s">
        <v>596</v>
      </c>
    </row>
    <row r="76" spans="1:8">
      <c r="A76">
        <v>75</v>
      </c>
      <c r="B76" t="s">
        <v>371</v>
      </c>
      <c r="D76" t="s">
        <v>372</v>
      </c>
      <c r="E76" t="s">
        <v>74</v>
      </c>
      <c r="F76" t="s">
        <v>197</v>
      </c>
      <c r="G76" s="104" t="s">
        <v>373</v>
      </c>
      <c r="H76" t="s">
        <v>597</v>
      </c>
    </row>
    <row r="77" spans="1:8">
      <c r="A77">
        <v>76</v>
      </c>
      <c r="B77" t="s">
        <v>382</v>
      </c>
      <c r="D77" t="s">
        <v>377</v>
      </c>
      <c r="E77" t="s">
        <v>77</v>
      </c>
      <c r="F77" t="s">
        <v>93</v>
      </c>
      <c r="G77" s="104" t="s">
        <v>373</v>
      </c>
      <c r="H77" t="s">
        <v>598</v>
      </c>
    </row>
    <row r="78" spans="1:8">
      <c r="A78">
        <v>77</v>
      </c>
      <c r="B78" t="s">
        <v>383</v>
      </c>
      <c r="D78" t="s">
        <v>378</v>
      </c>
      <c r="E78" t="s">
        <v>77</v>
      </c>
      <c r="F78" t="s">
        <v>93</v>
      </c>
      <c r="G78" s="104" t="s">
        <v>373</v>
      </c>
      <c r="H78" t="s">
        <v>599</v>
      </c>
    </row>
    <row r="79" spans="1:8">
      <c r="A79">
        <v>78</v>
      </c>
      <c r="B79" t="s">
        <v>400</v>
      </c>
      <c r="D79" t="s">
        <v>401</v>
      </c>
      <c r="E79" t="s">
        <v>74</v>
      </c>
      <c r="F79" t="s">
        <v>197</v>
      </c>
      <c r="G79" s="104" t="s">
        <v>373</v>
      </c>
      <c r="H79" t="s">
        <v>600</v>
      </c>
    </row>
    <row r="80" spans="1:8">
      <c r="A80">
        <v>79</v>
      </c>
      <c r="B80" t="s">
        <v>388</v>
      </c>
      <c r="D80" t="s">
        <v>36</v>
      </c>
      <c r="E80" t="s">
        <v>77</v>
      </c>
      <c r="F80" t="s">
        <v>46</v>
      </c>
      <c r="G80" s="104" t="s">
        <v>390</v>
      </c>
      <c r="H80" t="s">
        <v>601</v>
      </c>
    </row>
    <row r="81" spans="1:8">
      <c r="A81">
        <v>80</v>
      </c>
      <c r="B81" t="s">
        <v>391</v>
      </c>
      <c r="D81" t="s">
        <v>392</v>
      </c>
      <c r="E81" t="s">
        <v>74</v>
      </c>
      <c r="F81" t="s">
        <v>393</v>
      </c>
      <c r="G81" s="104" t="s">
        <v>394</v>
      </c>
      <c r="H81" t="s">
        <v>602</v>
      </c>
    </row>
    <row r="82" spans="1:8">
      <c r="A82">
        <v>81</v>
      </c>
      <c r="B82" t="s">
        <v>398</v>
      </c>
      <c r="D82" t="s">
        <v>396</v>
      </c>
      <c r="E82" t="s">
        <v>74</v>
      </c>
      <c r="F82" t="s">
        <v>197</v>
      </c>
      <c r="G82" s="104" t="s">
        <v>397</v>
      </c>
      <c r="H82" t="s">
        <v>603</v>
      </c>
    </row>
    <row r="83" spans="1:8">
      <c r="A83">
        <v>82</v>
      </c>
      <c r="B83" t="s">
        <v>405</v>
      </c>
      <c r="D83" t="s">
        <v>402</v>
      </c>
      <c r="E83" t="s">
        <v>77</v>
      </c>
      <c r="F83" t="s">
        <v>93</v>
      </c>
      <c r="G83" s="104" t="s">
        <v>408</v>
      </c>
      <c r="H83" t="s">
        <v>604</v>
      </c>
    </row>
    <row r="84" spans="1:8">
      <c r="A84">
        <v>83</v>
      </c>
      <c r="B84" t="s">
        <v>406</v>
      </c>
      <c r="D84" t="s">
        <v>403</v>
      </c>
      <c r="E84" t="s">
        <v>77</v>
      </c>
      <c r="F84" t="s">
        <v>93</v>
      </c>
      <c r="G84" s="104" t="s">
        <v>408</v>
      </c>
      <c r="H84" t="s">
        <v>605</v>
      </c>
    </row>
    <row r="85" spans="1:8">
      <c r="A85">
        <v>84</v>
      </c>
      <c r="B85" t="s">
        <v>407</v>
      </c>
      <c r="D85" t="s">
        <v>404</v>
      </c>
      <c r="E85" t="s">
        <v>74</v>
      </c>
      <c r="F85" t="s">
        <v>197</v>
      </c>
      <c r="G85" s="104" t="s">
        <v>409</v>
      </c>
      <c r="H85" t="s">
        <v>606</v>
      </c>
    </row>
    <row r="86" spans="1:8">
      <c r="A86">
        <v>85</v>
      </c>
      <c r="B86" t="s">
        <v>410</v>
      </c>
      <c r="D86" t="s">
        <v>411</v>
      </c>
      <c r="E86" t="s">
        <v>74</v>
      </c>
      <c r="F86" t="s">
        <v>197</v>
      </c>
      <c r="G86" s="104" t="s">
        <v>412</v>
      </c>
      <c r="H86" t="s">
        <v>607</v>
      </c>
    </row>
    <row r="87" spans="1:8">
      <c r="A87">
        <v>86</v>
      </c>
      <c r="B87" t="s">
        <v>419</v>
      </c>
      <c r="D87" t="s">
        <v>420</v>
      </c>
      <c r="E87" t="s">
        <v>74</v>
      </c>
      <c r="F87" t="s">
        <v>197</v>
      </c>
      <c r="G87" s="104" t="s">
        <v>417</v>
      </c>
      <c r="H87" t="s">
        <v>608</v>
      </c>
    </row>
    <row r="88" spans="1:8">
      <c r="A88">
        <v>87</v>
      </c>
      <c r="B88" t="s">
        <v>421</v>
      </c>
      <c r="D88" t="s">
        <v>422</v>
      </c>
      <c r="E88" t="s">
        <v>423</v>
      </c>
      <c r="F88" t="s">
        <v>424</v>
      </c>
      <c r="G88" s="104" t="s">
        <v>425</v>
      </c>
      <c r="H88" t="s">
        <v>609</v>
      </c>
    </row>
    <row r="89" spans="1:8">
      <c r="A89">
        <v>88</v>
      </c>
      <c r="B89" t="s">
        <v>426</v>
      </c>
      <c r="D89" t="s">
        <v>427</v>
      </c>
      <c r="E89" t="s">
        <v>428</v>
      </c>
      <c r="F89" t="s">
        <v>429</v>
      </c>
      <c r="G89" s="104" t="s">
        <v>430</v>
      </c>
      <c r="H89" t="s">
        <v>610</v>
      </c>
    </row>
    <row r="90" spans="1:8">
      <c r="A90">
        <v>89</v>
      </c>
      <c r="B90" t="s">
        <v>439</v>
      </c>
      <c r="D90" t="s">
        <v>414</v>
      </c>
      <c r="E90" t="s">
        <v>74</v>
      </c>
      <c r="F90" t="s">
        <v>197</v>
      </c>
      <c r="G90" s="104" t="s">
        <v>415</v>
      </c>
      <c r="H90" t="s">
        <v>611</v>
      </c>
    </row>
    <row r="91" spans="1:8">
      <c r="A91">
        <v>90</v>
      </c>
      <c r="B91" t="s">
        <v>452</v>
      </c>
      <c r="D91" t="s">
        <v>442</v>
      </c>
      <c r="E91" t="s">
        <v>74</v>
      </c>
      <c r="F91" t="s">
        <v>49</v>
      </c>
      <c r="G91" s="104" t="s">
        <v>447</v>
      </c>
      <c r="H91" t="s">
        <v>612</v>
      </c>
    </row>
    <row r="92" spans="1:8">
      <c r="A92">
        <v>91</v>
      </c>
      <c r="B92" t="s">
        <v>490</v>
      </c>
      <c r="D92" t="s">
        <v>491</v>
      </c>
      <c r="E92" t="s">
        <v>74</v>
      </c>
      <c r="F92" t="s">
        <v>48</v>
      </c>
      <c r="G92" s="104" t="s">
        <v>492</v>
      </c>
      <c r="H92" t="s">
        <v>613</v>
      </c>
    </row>
    <row r="93" spans="1:8">
      <c r="A93">
        <v>92</v>
      </c>
      <c r="B93" t="s">
        <v>493</v>
      </c>
      <c r="D93" t="s">
        <v>494</v>
      </c>
      <c r="E93" t="s">
        <v>74</v>
      </c>
      <c r="F93" t="s">
        <v>48</v>
      </c>
      <c r="G93" s="104" t="s">
        <v>449</v>
      </c>
      <c r="H93" t="s">
        <v>614</v>
      </c>
    </row>
    <row r="94" spans="1:8">
      <c r="A94">
        <v>93</v>
      </c>
      <c r="B94" t="s">
        <v>454</v>
      </c>
      <c r="D94" t="s">
        <v>444</v>
      </c>
      <c r="E94" t="s">
        <v>79</v>
      </c>
      <c r="F94" t="s">
        <v>45</v>
      </c>
      <c r="G94" s="104" t="s">
        <v>449</v>
      </c>
      <c r="H94" t="s">
        <v>615</v>
      </c>
    </row>
    <row r="95" spans="1:8">
      <c r="A95">
        <v>94</v>
      </c>
      <c r="B95" t="s">
        <v>488</v>
      </c>
      <c r="D95" t="s">
        <v>489</v>
      </c>
      <c r="E95" t="s">
        <v>74</v>
      </c>
      <c r="F95" t="s">
        <v>49</v>
      </c>
      <c r="G95" s="104" t="s">
        <v>449</v>
      </c>
      <c r="H95" t="s">
        <v>616</v>
      </c>
    </row>
    <row r="96" spans="1:8">
      <c r="A96">
        <v>95</v>
      </c>
      <c r="B96" t="s">
        <v>478</v>
      </c>
      <c r="D96" t="s">
        <v>479</v>
      </c>
      <c r="E96" t="s">
        <v>74</v>
      </c>
      <c r="F96" t="s">
        <v>48</v>
      </c>
      <c r="G96" s="104" t="s">
        <v>480</v>
      </c>
      <c r="H96" t="s">
        <v>617</v>
      </c>
    </row>
    <row r="97" spans="1:8">
      <c r="A97">
        <v>96</v>
      </c>
      <c r="B97" t="s">
        <v>481</v>
      </c>
      <c r="D97" t="s">
        <v>482</v>
      </c>
      <c r="E97" t="s">
        <v>74</v>
      </c>
      <c r="F97" t="s">
        <v>48</v>
      </c>
      <c r="G97" s="104" t="s">
        <v>480</v>
      </c>
      <c r="H97" t="s">
        <v>618</v>
      </c>
    </row>
    <row r="98" spans="1:8">
      <c r="A98">
        <v>97</v>
      </c>
      <c r="B98" t="s">
        <v>483</v>
      </c>
      <c r="D98" t="s">
        <v>486</v>
      </c>
      <c r="E98" t="s">
        <v>77</v>
      </c>
      <c r="F98" t="s">
        <v>93</v>
      </c>
      <c r="G98" s="104" t="s">
        <v>480</v>
      </c>
      <c r="H98" t="s">
        <v>619</v>
      </c>
    </row>
    <row r="99" spans="1:8">
      <c r="A99">
        <v>98</v>
      </c>
      <c r="B99" t="s">
        <v>487</v>
      </c>
      <c r="D99" t="s">
        <v>484</v>
      </c>
      <c r="E99" t="s">
        <v>74</v>
      </c>
      <c r="F99" t="s">
        <v>48</v>
      </c>
      <c r="G99" s="104" t="s">
        <v>485</v>
      </c>
      <c r="H99" t="s">
        <v>620</v>
      </c>
    </row>
    <row r="100" spans="1:8">
      <c r="A100">
        <v>99</v>
      </c>
      <c r="B100" t="s">
        <v>495</v>
      </c>
      <c r="D100" t="s">
        <v>496</v>
      </c>
      <c r="E100" t="s">
        <v>74</v>
      </c>
      <c r="F100" t="s">
        <v>48</v>
      </c>
      <c r="G100" s="104" t="s">
        <v>497</v>
      </c>
      <c r="H100" t="s">
        <v>621</v>
      </c>
    </row>
    <row r="101" spans="1:8">
      <c r="A101">
        <v>100</v>
      </c>
      <c r="B101" t="s">
        <v>506</v>
      </c>
      <c r="D101" t="s">
        <v>516</v>
      </c>
      <c r="E101" t="s">
        <v>74</v>
      </c>
      <c r="F101" t="s">
        <v>48</v>
      </c>
      <c r="G101" s="104" t="s">
        <v>498</v>
      </c>
      <c r="H101" t="s">
        <v>622</v>
      </c>
    </row>
    <row r="102" spans="1:8">
      <c r="A102">
        <v>101</v>
      </c>
      <c r="B102" t="s">
        <v>517</v>
      </c>
      <c r="D102" t="s">
        <v>518</v>
      </c>
      <c r="E102" t="s">
        <v>74</v>
      </c>
      <c r="F102" t="s">
        <v>19</v>
      </c>
      <c r="G102" s="104" t="s">
        <v>500</v>
      </c>
      <c r="H102" t="s">
        <v>623</v>
      </c>
    </row>
    <row r="103" spans="1:8">
      <c r="A103">
        <v>102</v>
      </c>
      <c r="B103" t="s">
        <v>453</v>
      </c>
      <c r="D103" t="s">
        <v>440</v>
      </c>
      <c r="E103" t="s">
        <v>74</v>
      </c>
      <c r="F103" t="s">
        <v>197</v>
      </c>
      <c r="G103" s="104" t="s">
        <v>446</v>
      </c>
      <c r="H103" t="s">
        <v>624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2960C-9B6E-4E29-B503-7D1EC003DEAF}">
  <dimension ref="A1:BF109"/>
  <sheetViews>
    <sheetView tabSelected="1" zoomScale="80" zoomScaleNormal="80" workbookViewId="0">
      <pane xSplit="7" ySplit="7" topLeftCell="AZ8" activePane="bottomRight" state="frozen"/>
      <selection pane="topRight" activeCell="H1" sqref="H1"/>
      <selection pane="bottomLeft" activeCell="A8" sqref="A8"/>
      <selection pane="bottomRight" activeCell="BB20" sqref="BB20"/>
    </sheetView>
  </sheetViews>
  <sheetFormatPr defaultRowHeight="15"/>
  <cols>
    <col min="1" max="1" width="5.5703125" bestFit="1" customWidth="1"/>
    <col min="2" max="2" width="23" bestFit="1" customWidth="1"/>
    <col min="3" max="3" width="40.85546875" bestFit="1" customWidth="1"/>
    <col min="4" max="4" width="23.5703125" style="71" bestFit="1" customWidth="1"/>
    <col min="5" max="5" width="22.28515625" bestFit="1" customWidth="1"/>
    <col min="6" max="6" width="27" bestFit="1" customWidth="1"/>
    <col min="7" max="7" width="25.28515625" bestFit="1" customWidth="1"/>
    <col min="8" max="8" width="14.5703125" bestFit="1" customWidth="1"/>
    <col min="9" max="13" width="11.42578125" bestFit="1" customWidth="1"/>
    <col min="14" max="14" width="12" bestFit="1" customWidth="1"/>
    <col min="15" max="20" width="11.42578125" bestFit="1" customWidth="1"/>
    <col min="21" max="21" width="12" bestFit="1" customWidth="1"/>
    <col min="22" max="22" width="11.42578125" bestFit="1" customWidth="1"/>
    <col min="23" max="23" width="11.7109375" bestFit="1" customWidth="1"/>
    <col min="24" max="24" width="11.42578125" bestFit="1" customWidth="1"/>
    <col min="25" max="25" width="11.7109375" bestFit="1" customWidth="1"/>
    <col min="26" max="27" width="11.42578125" bestFit="1" customWidth="1"/>
    <col min="28" max="28" width="12" bestFit="1" customWidth="1"/>
    <col min="29" max="34" width="11.42578125" bestFit="1" customWidth="1"/>
    <col min="35" max="35" width="12" bestFit="1" customWidth="1"/>
    <col min="36" max="37" width="11.42578125" bestFit="1" customWidth="1"/>
    <col min="38" max="38" width="11.7109375" bestFit="1" customWidth="1"/>
    <col min="39" max="39" width="11.42578125" bestFit="1" customWidth="1"/>
    <col min="40" max="40" width="54.140625" bestFit="1" customWidth="1"/>
    <col min="41" max="41" width="38.42578125" bestFit="1" customWidth="1"/>
    <col min="42" max="42" width="36.7109375" bestFit="1" customWidth="1"/>
    <col min="43" max="43" width="39.42578125" bestFit="1" customWidth="1"/>
    <col min="44" max="44" width="30" bestFit="1" customWidth="1"/>
    <col min="45" max="45" width="30.7109375" bestFit="1" customWidth="1"/>
    <col min="46" max="46" width="58.5703125" bestFit="1" customWidth="1"/>
    <col min="47" max="47" width="49.28515625" bestFit="1" customWidth="1"/>
    <col min="48" max="48" width="36.28515625" bestFit="1" customWidth="1"/>
    <col min="49" max="49" width="41.7109375" bestFit="1" customWidth="1"/>
    <col min="50" max="50" width="11" style="74" bestFit="1" customWidth="1"/>
    <col min="51" max="51" width="28.5703125" bestFit="1" customWidth="1"/>
    <col min="52" max="52" width="34.42578125" bestFit="1" customWidth="1"/>
    <col min="53" max="53" width="33" bestFit="1" customWidth="1"/>
    <col min="54" max="54" width="28" bestFit="1" customWidth="1"/>
    <col min="55" max="55" width="7" bestFit="1" customWidth="1"/>
    <col min="56" max="56" width="6.42578125" bestFit="1" customWidth="1"/>
    <col min="57" max="57" width="39.28515625" bestFit="1" customWidth="1"/>
    <col min="58" max="58" width="27.5703125" bestFit="1" customWidth="1"/>
    <col min="59" max="59" width="12.7109375" customWidth="1"/>
  </cols>
  <sheetData>
    <row r="1" spans="1:58">
      <c r="I1" cm="1">
        <f t="array" aca="1" ref="I1" ca="1">I:X</f>
        <v>0</v>
      </c>
    </row>
    <row r="2" spans="1:58" ht="20.100000000000001" customHeight="1">
      <c r="F2" s="22" t="s">
        <v>437</v>
      </c>
      <c r="G2" s="22"/>
      <c r="H2" s="22"/>
    </row>
    <row r="3" spans="1:58" ht="14.45" hidden="1" customHeight="1">
      <c r="F3" s="22"/>
      <c r="G3" s="22"/>
      <c r="H3" s="22"/>
    </row>
    <row r="4" spans="1:58" ht="18.75">
      <c r="C4" s="4" t="s">
        <v>26</v>
      </c>
      <c r="D4" s="72" t="s">
        <v>219</v>
      </c>
      <c r="E4" s="13" t="s">
        <v>82</v>
      </c>
      <c r="F4" s="13"/>
      <c r="G4" s="13" t="s">
        <v>320</v>
      </c>
      <c r="H4" s="13"/>
    </row>
    <row r="5" spans="1:58" ht="14.45" customHeight="1">
      <c r="A5" s="114" t="s">
        <v>104</v>
      </c>
      <c r="B5" s="106" t="s">
        <v>103</v>
      </c>
      <c r="C5" s="106" t="s">
        <v>0</v>
      </c>
      <c r="D5" s="115" t="s">
        <v>102</v>
      </c>
      <c r="E5" s="116" t="s">
        <v>101</v>
      </c>
      <c r="F5" s="106" t="s">
        <v>100</v>
      </c>
      <c r="G5" s="114" t="s">
        <v>99</v>
      </c>
      <c r="H5" s="94"/>
      <c r="I5" s="75">
        <v>46224</v>
      </c>
      <c r="J5" s="75">
        <v>46225</v>
      </c>
      <c r="K5" s="75">
        <v>46226</v>
      </c>
      <c r="L5" s="75">
        <v>46227</v>
      </c>
      <c r="M5" s="75">
        <v>46228</v>
      </c>
      <c r="N5" s="75">
        <v>46229</v>
      </c>
      <c r="O5" s="75">
        <v>46230</v>
      </c>
      <c r="P5" s="75">
        <v>46231</v>
      </c>
      <c r="Q5" s="75">
        <v>46232</v>
      </c>
      <c r="R5" s="75">
        <v>46233</v>
      </c>
      <c r="S5" s="75">
        <v>46234</v>
      </c>
      <c r="T5" s="75">
        <v>46235</v>
      </c>
      <c r="U5" s="75">
        <v>46236</v>
      </c>
      <c r="V5" s="75">
        <v>46237</v>
      </c>
      <c r="W5" s="75">
        <v>46238</v>
      </c>
      <c r="X5" s="75">
        <v>46239</v>
      </c>
      <c r="Y5" s="75">
        <v>46240</v>
      </c>
      <c r="Z5" s="75">
        <v>46241</v>
      </c>
      <c r="AA5" s="75">
        <v>46242</v>
      </c>
      <c r="AB5" s="75">
        <v>46243</v>
      </c>
      <c r="AC5" s="75">
        <v>46244</v>
      </c>
      <c r="AD5" s="75">
        <v>46245</v>
      </c>
      <c r="AE5" s="75">
        <v>46246</v>
      </c>
      <c r="AF5" s="75">
        <v>46247</v>
      </c>
      <c r="AG5" s="75">
        <v>46248</v>
      </c>
      <c r="AH5" s="75">
        <v>46249</v>
      </c>
      <c r="AI5" s="75">
        <v>46250</v>
      </c>
      <c r="AJ5" s="75">
        <v>46251</v>
      </c>
      <c r="AK5" s="75">
        <v>46252</v>
      </c>
      <c r="AL5" s="75">
        <v>46253</v>
      </c>
      <c r="AM5" s="75">
        <v>46254</v>
      </c>
      <c r="AN5" s="113" t="s">
        <v>116</v>
      </c>
      <c r="AO5" s="113" t="s">
        <v>117</v>
      </c>
      <c r="AP5" s="113" t="s">
        <v>164</v>
      </c>
      <c r="AQ5" s="113" t="s">
        <v>109</v>
      </c>
      <c r="AR5" s="113" t="s">
        <v>321</v>
      </c>
      <c r="AS5" s="113" t="s">
        <v>179</v>
      </c>
      <c r="AT5" s="113" t="s">
        <v>186</v>
      </c>
      <c r="AU5" s="113" t="s">
        <v>218</v>
      </c>
      <c r="AV5" s="113" t="s">
        <v>180</v>
      </c>
      <c r="AW5" s="107" t="s">
        <v>119</v>
      </c>
      <c r="AX5" s="110" t="s">
        <v>284</v>
      </c>
      <c r="AY5" s="107" t="s">
        <v>124</v>
      </c>
      <c r="AZ5" s="107" t="s">
        <v>232</v>
      </c>
      <c r="BA5" s="107" t="s">
        <v>226</v>
      </c>
      <c r="BB5" s="107" t="s">
        <v>227</v>
      </c>
      <c r="BC5" s="106" t="s">
        <v>120</v>
      </c>
      <c r="BD5" s="106" t="s">
        <v>121</v>
      </c>
      <c r="BE5" s="106" t="s">
        <v>122</v>
      </c>
      <c r="BF5" t="s">
        <v>521</v>
      </c>
    </row>
    <row r="6" spans="1:58" ht="14.45" customHeight="1">
      <c r="A6" s="114"/>
      <c r="B6" s="106"/>
      <c r="C6" s="106"/>
      <c r="D6" s="115"/>
      <c r="E6" s="117"/>
      <c r="F6" s="106"/>
      <c r="G6" s="114"/>
      <c r="H6" s="94"/>
      <c r="I6" s="6" t="s">
        <v>7</v>
      </c>
      <c r="J6" s="6" t="s">
        <v>1</v>
      </c>
      <c r="K6" s="6" t="s">
        <v>2</v>
      </c>
      <c r="L6" s="6" t="s">
        <v>3</v>
      </c>
      <c r="M6" s="6" t="s">
        <v>4</v>
      </c>
      <c r="N6" s="6" t="s">
        <v>5</v>
      </c>
      <c r="O6" s="6" t="s">
        <v>6</v>
      </c>
      <c r="P6" s="6" t="s">
        <v>7</v>
      </c>
      <c r="Q6" s="6" t="s">
        <v>1</v>
      </c>
      <c r="R6" s="6" t="s">
        <v>2</v>
      </c>
      <c r="S6" s="6" t="s">
        <v>3</v>
      </c>
      <c r="T6" s="6" t="s">
        <v>4</v>
      </c>
      <c r="U6" s="6" t="s">
        <v>5</v>
      </c>
      <c r="V6" s="6" t="s">
        <v>6</v>
      </c>
      <c r="W6" s="6" t="s">
        <v>7</v>
      </c>
      <c r="X6" s="6" t="s">
        <v>1</v>
      </c>
      <c r="Y6" s="6" t="s">
        <v>2</v>
      </c>
      <c r="Z6" s="6" t="s">
        <v>3</v>
      </c>
      <c r="AA6" s="6" t="s">
        <v>4</v>
      </c>
      <c r="AB6" s="6" t="s">
        <v>5</v>
      </c>
      <c r="AC6" s="6" t="s">
        <v>6</v>
      </c>
      <c r="AD6" s="6" t="s">
        <v>7</v>
      </c>
      <c r="AE6" s="6" t="s">
        <v>1</v>
      </c>
      <c r="AF6" s="6" t="s">
        <v>2</v>
      </c>
      <c r="AG6" s="6" t="s">
        <v>3</v>
      </c>
      <c r="AH6" s="6" t="s">
        <v>4</v>
      </c>
      <c r="AI6" s="6" t="s">
        <v>5</v>
      </c>
      <c r="AJ6" s="6" t="s">
        <v>6</v>
      </c>
      <c r="AK6" s="6" t="s">
        <v>7</v>
      </c>
      <c r="AL6" s="6" t="s">
        <v>1</v>
      </c>
      <c r="AM6" s="6" t="s">
        <v>2</v>
      </c>
      <c r="AN6" s="113"/>
      <c r="AO6" s="113"/>
      <c r="AP6" s="113"/>
      <c r="AQ6" s="113"/>
      <c r="AR6" s="113"/>
      <c r="AS6" s="113"/>
      <c r="AT6" s="113"/>
      <c r="AU6" s="113"/>
      <c r="AV6" s="113"/>
      <c r="AW6" s="108"/>
      <c r="AX6" s="111"/>
      <c r="AY6" s="108"/>
      <c r="AZ6" s="108"/>
      <c r="BA6" s="108"/>
      <c r="BB6" s="108"/>
      <c r="BC6" s="106"/>
      <c r="BD6" s="106"/>
      <c r="BE6" s="106"/>
    </row>
    <row r="7" spans="1:58" ht="62.45" customHeight="1">
      <c r="A7" s="114"/>
      <c r="B7" s="106"/>
      <c r="C7" s="106"/>
      <c r="D7" s="115"/>
      <c r="E7" s="118"/>
      <c r="F7" s="106"/>
      <c r="G7" s="114"/>
      <c r="H7" s="94"/>
      <c r="I7" s="5" t="s">
        <v>14</v>
      </c>
      <c r="J7" s="5" t="s">
        <v>8</v>
      </c>
      <c r="K7" s="5" t="s">
        <v>9</v>
      </c>
      <c r="L7" s="5" t="s">
        <v>10</v>
      </c>
      <c r="M7" s="5" t="s">
        <v>11</v>
      </c>
      <c r="N7" s="95" t="s">
        <v>12</v>
      </c>
      <c r="O7" s="5" t="s">
        <v>13</v>
      </c>
      <c r="P7" s="5" t="s">
        <v>14</v>
      </c>
      <c r="Q7" s="5" t="s">
        <v>8</v>
      </c>
      <c r="R7" s="5" t="s">
        <v>9</v>
      </c>
      <c r="S7" s="5" t="s">
        <v>10</v>
      </c>
      <c r="T7" s="5" t="s">
        <v>11</v>
      </c>
      <c r="U7" s="95" t="s">
        <v>12</v>
      </c>
      <c r="V7" s="5" t="s">
        <v>13</v>
      </c>
      <c r="W7" s="5" t="s">
        <v>14</v>
      </c>
      <c r="X7" s="5" t="s">
        <v>8</v>
      </c>
      <c r="Y7" s="5" t="s">
        <v>9</v>
      </c>
      <c r="Z7" s="5" t="s">
        <v>10</v>
      </c>
      <c r="AA7" s="5" t="s">
        <v>11</v>
      </c>
      <c r="AB7" s="95" t="s">
        <v>12</v>
      </c>
      <c r="AC7" s="5" t="s">
        <v>13</v>
      </c>
      <c r="AD7" s="5" t="s">
        <v>14</v>
      </c>
      <c r="AE7" s="5" t="s">
        <v>8</v>
      </c>
      <c r="AF7" s="5" t="s">
        <v>9</v>
      </c>
      <c r="AG7" s="5" t="s">
        <v>10</v>
      </c>
      <c r="AH7" s="5" t="s">
        <v>11</v>
      </c>
      <c r="AI7" s="5" t="s">
        <v>12</v>
      </c>
      <c r="AJ7" s="5" t="s">
        <v>13</v>
      </c>
      <c r="AK7" s="5" t="s">
        <v>14</v>
      </c>
      <c r="AL7" s="5" t="s">
        <v>8</v>
      </c>
      <c r="AM7" s="5" t="s">
        <v>9</v>
      </c>
      <c r="AN7" s="113"/>
      <c r="AO7" s="113"/>
      <c r="AP7" s="113"/>
      <c r="AQ7" s="113"/>
      <c r="AR7" s="113"/>
      <c r="AS7" s="113"/>
      <c r="AT7" s="113"/>
      <c r="AU7" s="113"/>
      <c r="AV7" s="113"/>
      <c r="AW7" s="109"/>
      <c r="AX7" s="112"/>
      <c r="AY7" s="109"/>
      <c r="AZ7" s="109"/>
      <c r="BA7" s="109"/>
      <c r="BB7" s="109"/>
      <c r="BC7" s="106"/>
      <c r="BD7" s="106"/>
      <c r="BE7" s="106"/>
      <c r="BF7" t="s">
        <v>522</v>
      </c>
    </row>
    <row r="8" spans="1:58" ht="29.1" customHeight="1">
      <c r="A8" s="42">
        <v>1</v>
      </c>
      <c r="B8" s="42" t="s">
        <v>55</v>
      </c>
      <c r="C8" s="43" t="s">
        <v>16</v>
      </c>
      <c r="D8" s="43" t="s">
        <v>17</v>
      </c>
      <c r="E8" s="43" t="s">
        <v>73</v>
      </c>
      <c r="F8" s="43" t="s">
        <v>15</v>
      </c>
      <c r="G8" s="44" t="s">
        <v>203</v>
      </c>
      <c r="H8" s="44" t="str">
        <f>B8&amp;$AM$5</f>
        <v>LEP00146254</v>
      </c>
      <c r="I8" s="45" t="s">
        <v>18</v>
      </c>
      <c r="J8" s="45" t="s">
        <v>18</v>
      </c>
      <c r="K8" s="45" t="s">
        <v>18</v>
      </c>
      <c r="L8" s="45" t="s">
        <v>18</v>
      </c>
      <c r="M8" s="45"/>
      <c r="N8" s="45"/>
      <c r="O8" s="45" t="s">
        <v>18</v>
      </c>
      <c r="P8" s="45" t="s">
        <v>18</v>
      </c>
      <c r="Q8" s="45" t="s">
        <v>18</v>
      </c>
      <c r="R8" s="45" t="s">
        <v>18</v>
      </c>
      <c r="S8" s="45" t="s">
        <v>18</v>
      </c>
      <c r="T8" s="45"/>
      <c r="U8" s="45"/>
      <c r="V8" s="45" t="s">
        <v>18</v>
      </c>
      <c r="W8" s="45" t="s">
        <v>18</v>
      </c>
      <c r="X8" s="45" t="s">
        <v>18</v>
      </c>
      <c r="Y8" s="45" t="s">
        <v>18</v>
      </c>
      <c r="Z8" s="45" t="s">
        <v>18</v>
      </c>
      <c r="AA8" s="45"/>
      <c r="AB8" s="45"/>
      <c r="AC8" s="45" t="s">
        <v>18</v>
      </c>
      <c r="AD8" s="45" t="s">
        <v>18</v>
      </c>
      <c r="AE8" s="45" t="s">
        <v>18</v>
      </c>
      <c r="AF8" s="45" t="s">
        <v>18</v>
      </c>
      <c r="AG8" s="45" t="s">
        <v>18</v>
      </c>
      <c r="AH8" s="45"/>
      <c r="AI8" s="45"/>
      <c r="AJ8" s="45" t="s">
        <v>18</v>
      </c>
      <c r="AK8" s="45" t="s">
        <v>18</v>
      </c>
      <c r="AL8" s="45" t="s">
        <v>18</v>
      </c>
      <c r="AM8" s="45" t="s">
        <v>18</v>
      </c>
      <c r="AN8" s="46">
        <v>23</v>
      </c>
      <c r="AO8" s="47">
        <f t="shared" ref="AO8:AO39" si="0">COUNTIF(I8:AM8,"W")+COUNTIF(I8:AM8,"W/2 AL/2")*0.5+COUNTIF(I8:AM8,"BT")+COUNTIF(I8:AM8,"N")++COUNTIF(I8:AM8,"W/2 UL/2")*0.5</f>
        <v>23</v>
      </c>
      <c r="AP8" s="47">
        <f t="shared" ref="AP8:AP39" si="1">COUNTIF(I8:AM8,"AL")+COUNTIF(I8:AM8,"W/2 AL/2")*0.5+COUNTIF(I8:AM8,"AL/2 UL/2")*0.5</f>
        <v>0</v>
      </c>
      <c r="AQ8" s="47">
        <f t="shared" ref="AQ8:AQ39" si="2">COUNTIF(I8:AM8,"UL")+COUNTIF(I8:AM8,"W/2 UL/2")*0.5+COUNTIF(I8:AM8,"AL/2 UL/2")*0.5</f>
        <v>0</v>
      </c>
      <c r="AR8" s="47">
        <f t="shared" ref="AR8:AR39" si="3">COUNTIF(I8:AM8,"PH")</f>
        <v>0</v>
      </c>
      <c r="AS8" s="47">
        <f t="shared" ref="AS8:AS39" si="4">COUNTIF(I8:AM8,"SL")</f>
        <v>0</v>
      </c>
      <c r="AT8" s="47">
        <f t="shared" ref="AT8:AT39" si="5">COUNTIF(I8:AM8,"PL")</f>
        <v>0</v>
      </c>
      <c r="AU8" s="47"/>
      <c r="AV8" s="48"/>
      <c r="AW8" s="49"/>
      <c r="AX8" s="50"/>
      <c r="AY8" s="49"/>
      <c r="AZ8" s="49"/>
      <c r="BA8" s="49"/>
      <c r="BB8" s="50">
        <v>-40000</v>
      </c>
      <c r="BC8" s="43">
        <v>8</v>
      </c>
      <c r="BD8" s="43">
        <v>2026</v>
      </c>
      <c r="BE8" s="51"/>
      <c r="BF8" s="20">
        <v>0</v>
      </c>
    </row>
    <row r="9" spans="1:58" ht="29.1" customHeight="1">
      <c r="A9" s="42">
        <v>2</v>
      </c>
      <c r="B9" s="42" t="s">
        <v>57</v>
      </c>
      <c r="C9" s="43" t="s">
        <v>23</v>
      </c>
      <c r="D9" s="43" t="s">
        <v>24</v>
      </c>
      <c r="E9" s="43" t="s">
        <v>75</v>
      </c>
      <c r="F9" s="43" t="s">
        <v>22</v>
      </c>
      <c r="G9" s="44" t="s">
        <v>25</v>
      </c>
      <c r="H9" s="44" t="str">
        <f t="shared" ref="H9:H72" si="6">B9&amp;$AM$5</f>
        <v>LEP00446254</v>
      </c>
      <c r="I9" s="45" t="s">
        <v>18</v>
      </c>
      <c r="J9" s="45" t="s">
        <v>18</v>
      </c>
      <c r="K9" s="45" t="s">
        <v>18</v>
      </c>
      <c r="L9" s="45" t="s">
        <v>18</v>
      </c>
      <c r="M9" s="45"/>
      <c r="N9" s="45"/>
      <c r="O9" s="45" t="s">
        <v>18</v>
      </c>
      <c r="P9" s="45" t="s">
        <v>18</v>
      </c>
      <c r="Q9" s="45" t="s">
        <v>505</v>
      </c>
      <c r="R9" s="45" t="s">
        <v>18</v>
      </c>
      <c r="S9" s="45" t="s">
        <v>18</v>
      </c>
      <c r="T9" s="45"/>
      <c r="U9" s="45"/>
      <c r="V9" s="45" t="s">
        <v>18</v>
      </c>
      <c r="W9" s="45" t="s">
        <v>18</v>
      </c>
      <c r="X9" s="45" t="s">
        <v>18</v>
      </c>
      <c r="Y9" s="45" t="s">
        <v>18</v>
      </c>
      <c r="Z9" s="45" t="s">
        <v>18</v>
      </c>
      <c r="AA9" s="45"/>
      <c r="AB9" s="45"/>
      <c r="AC9" s="45" t="s">
        <v>505</v>
      </c>
      <c r="AD9" s="45" t="s">
        <v>18</v>
      </c>
      <c r="AE9" s="45" t="s">
        <v>18</v>
      </c>
      <c r="AF9" s="45" t="s">
        <v>18</v>
      </c>
      <c r="AG9" s="45" t="s">
        <v>18</v>
      </c>
      <c r="AH9" s="45"/>
      <c r="AI9" s="45"/>
      <c r="AJ9" s="45" t="s">
        <v>18</v>
      </c>
      <c r="AK9" s="45" t="s">
        <v>18</v>
      </c>
      <c r="AL9" s="45" t="s">
        <v>18</v>
      </c>
      <c r="AM9" s="45" t="s">
        <v>18</v>
      </c>
      <c r="AN9" s="46">
        <v>23</v>
      </c>
      <c r="AO9" s="47">
        <f t="shared" si="0"/>
        <v>23</v>
      </c>
      <c r="AP9" s="47">
        <f t="shared" si="1"/>
        <v>0</v>
      </c>
      <c r="AQ9" s="47">
        <f t="shared" si="2"/>
        <v>0</v>
      </c>
      <c r="AR9" s="47">
        <f t="shared" si="3"/>
        <v>0</v>
      </c>
      <c r="AS9" s="47">
        <f t="shared" si="4"/>
        <v>0</v>
      </c>
      <c r="AT9" s="47">
        <f t="shared" si="5"/>
        <v>0</v>
      </c>
      <c r="AU9" s="47"/>
      <c r="AV9" s="48"/>
      <c r="AW9" s="49"/>
      <c r="AX9" s="50"/>
      <c r="AY9" s="49"/>
      <c r="AZ9" s="50">
        <v>992000</v>
      </c>
      <c r="BA9" s="84"/>
      <c r="BB9" s="50">
        <v>-40000</v>
      </c>
      <c r="BC9" s="43">
        <v>8</v>
      </c>
      <c r="BD9" s="43">
        <v>2026</v>
      </c>
      <c r="BE9" s="51"/>
      <c r="BF9" s="20">
        <v>0</v>
      </c>
    </row>
    <row r="10" spans="1:58" ht="29.1" customHeight="1">
      <c r="A10" s="42">
        <v>3</v>
      </c>
      <c r="B10" s="42" t="s">
        <v>58</v>
      </c>
      <c r="C10" s="43"/>
      <c r="D10" s="43" t="s">
        <v>27</v>
      </c>
      <c r="E10" s="43" t="s">
        <v>76</v>
      </c>
      <c r="F10" s="43" t="s">
        <v>28</v>
      </c>
      <c r="G10" s="44" t="s">
        <v>29</v>
      </c>
      <c r="H10" s="44" t="str">
        <f t="shared" si="6"/>
        <v>LEP00546254</v>
      </c>
      <c r="I10" s="45" t="s">
        <v>18</v>
      </c>
      <c r="J10" s="45" t="s">
        <v>18</v>
      </c>
      <c r="K10" s="45" t="s">
        <v>18</v>
      </c>
      <c r="L10" s="45" t="s">
        <v>18</v>
      </c>
      <c r="M10" s="45"/>
      <c r="N10" s="45"/>
      <c r="O10" s="45" t="s">
        <v>18</v>
      </c>
      <c r="P10" s="45" t="s">
        <v>18</v>
      </c>
      <c r="Q10" s="45" t="s">
        <v>18</v>
      </c>
      <c r="R10" s="45" t="s">
        <v>18</v>
      </c>
      <c r="S10" s="45" t="s">
        <v>18</v>
      </c>
      <c r="T10" s="45"/>
      <c r="U10" s="45"/>
      <c r="V10" s="45" t="s">
        <v>18</v>
      </c>
      <c r="W10" s="45" t="s">
        <v>18</v>
      </c>
      <c r="X10" s="45" t="s">
        <v>18</v>
      </c>
      <c r="Y10" s="45" t="s">
        <v>18</v>
      </c>
      <c r="Z10" s="45" t="s">
        <v>18</v>
      </c>
      <c r="AA10" s="45"/>
      <c r="AB10" s="45"/>
      <c r="AC10" s="45" t="s">
        <v>18</v>
      </c>
      <c r="AD10" s="45" t="s">
        <v>18</v>
      </c>
      <c r="AE10" s="45" t="s">
        <v>18</v>
      </c>
      <c r="AF10" s="45" t="s">
        <v>18</v>
      </c>
      <c r="AG10" s="45" t="s">
        <v>18</v>
      </c>
      <c r="AH10" s="45"/>
      <c r="AI10" s="45"/>
      <c r="AJ10" s="45" t="s">
        <v>18</v>
      </c>
      <c r="AK10" s="45" t="s">
        <v>18</v>
      </c>
      <c r="AL10" s="45" t="s">
        <v>18</v>
      </c>
      <c r="AM10" s="45" t="s">
        <v>18</v>
      </c>
      <c r="AN10" s="46">
        <v>23</v>
      </c>
      <c r="AO10" s="47">
        <f t="shared" si="0"/>
        <v>23</v>
      </c>
      <c r="AP10" s="47">
        <f t="shared" si="1"/>
        <v>0</v>
      </c>
      <c r="AQ10" s="47">
        <f t="shared" si="2"/>
        <v>0</v>
      </c>
      <c r="AR10" s="47">
        <f t="shared" si="3"/>
        <v>0</v>
      </c>
      <c r="AS10" s="47">
        <f t="shared" si="4"/>
        <v>0</v>
      </c>
      <c r="AT10" s="47">
        <f t="shared" si="5"/>
        <v>0</v>
      </c>
      <c r="AU10" s="47"/>
      <c r="AV10" s="48"/>
      <c r="AW10" s="49"/>
      <c r="AX10" s="50"/>
      <c r="AY10" s="49"/>
      <c r="AZ10" s="49"/>
      <c r="BA10" s="49"/>
      <c r="BB10" s="50">
        <v>-40000</v>
      </c>
      <c r="BC10" s="43">
        <v>8</v>
      </c>
      <c r="BD10" s="43">
        <v>2026</v>
      </c>
      <c r="BE10" s="51"/>
      <c r="BF10" s="20">
        <v>0</v>
      </c>
    </row>
    <row r="11" spans="1:58" ht="29.1" customHeight="1">
      <c r="A11" s="42">
        <v>4</v>
      </c>
      <c r="B11" s="42" t="s">
        <v>59</v>
      </c>
      <c r="C11" s="43">
        <v>1014338</v>
      </c>
      <c r="D11" s="43" t="s">
        <v>33</v>
      </c>
      <c r="E11" s="43" t="s">
        <v>73</v>
      </c>
      <c r="F11" s="43" t="s">
        <v>34</v>
      </c>
      <c r="G11" s="44" t="s">
        <v>32</v>
      </c>
      <c r="H11" s="44" t="str">
        <f t="shared" si="6"/>
        <v>LEP00746254</v>
      </c>
      <c r="I11" s="45" t="s">
        <v>18</v>
      </c>
      <c r="J11" s="45" t="s">
        <v>18</v>
      </c>
      <c r="K11" s="45" t="s">
        <v>18</v>
      </c>
      <c r="L11" s="45" t="s">
        <v>18</v>
      </c>
      <c r="M11" s="45"/>
      <c r="N11" s="45"/>
      <c r="O11" s="45" t="s">
        <v>18</v>
      </c>
      <c r="P11" s="45" t="s">
        <v>18</v>
      </c>
      <c r="Q11" s="45" t="s">
        <v>18</v>
      </c>
      <c r="R11" s="45" t="s">
        <v>18</v>
      </c>
      <c r="S11" s="45" t="s">
        <v>18</v>
      </c>
      <c r="T11" s="45"/>
      <c r="U11" s="45"/>
      <c r="V11" s="45" t="s">
        <v>18</v>
      </c>
      <c r="W11" s="45" t="s">
        <v>18</v>
      </c>
      <c r="X11" s="45" t="s">
        <v>18</v>
      </c>
      <c r="Y11" s="45" t="s">
        <v>18</v>
      </c>
      <c r="Z11" s="45" t="s">
        <v>18</v>
      </c>
      <c r="AA11" s="45"/>
      <c r="AB11" s="45"/>
      <c r="AC11" s="45" t="s">
        <v>18</v>
      </c>
      <c r="AD11" s="45" t="s">
        <v>18</v>
      </c>
      <c r="AE11" s="45" t="s">
        <v>18</v>
      </c>
      <c r="AF11" s="45" t="s">
        <v>18</v>
      </c>
      <c r="AG11" s="45" t="s">
        <v>18</v>
      </c>
      <c r="AH11" s="45"/>
      <c r="AI11" s="45"/>
      <c r="AJ11" s="45" t="s">
        <v>18</v>
      </c>
      <c r="AK11" s="45" t="s">
        <v>18</v>
      </c>
      <c r="AL11" s="45" t="s">
        <v>18</v>
      </c>
      <c r="AM11" s="45" t="s">
        <v>18</v>
      </c>
      <c r="AN11" s="46">
        <v>23</v>
      </c>
      <c r="AO11" s="47">
        <f t="shared" si="0"/>
        <v>23</v>
      </c>
      <c r="AP11" s="47">
        <f t="shared" si="1"/>
        <v>0</v>
      </c>
      <c r="AQ11" s="47">
        <f t="shared" si="2"/>
        <v>0</v>
      </c>
      <c r="AR11" s="47">
        <f t="shared" si="3"/>
        <v>0</v>
      </c>
      <c r="AS11" s="47">
        <f t="shared" si="4"/>
        <v>0</v>
      </c>
      <c r="AT11" s="47">
        <f t="shared" si="5"/>
        <v>0</v>
      </c>
      <c r="AU11" s="47"/>
      <c r="AV11" s="48"/>
      <c r="AW11" s="49"/>
      <c r="AX11" s="50"/>
      <c r="AY11" s="49"/>
      <c r="AZ11" s="49"/>
      <c r="BA11" s="49"/>
      <c r="BB11" s="50">
        <v>-40000</v>
      </c>
      <c r="BC11" s="43">
        <v>8</v>
      </c>
      <c r="BD11" s="43">
        <v>2026</v>
      </c>
      <c r="BE11" s="51"/>
      <c r="BF11" s="20">
        <v>0</v>
      </c>
    </row>
    <row r="12" spans="1:58" ht="29.1" customHeight="1">
      <c r="A12" s="42">
        <v>5</v>
      </c>
      <c r="B12" s="42" t="s">
        <v>60</v>
      </c>
      <c r="C12" s="43">
        <v>1014359</v>
      </c>
      <c r="D12" s="43" t="s">
        <v>36</v>
      </c>
      <c r="E12" s="43" t="s">
        <v>78</v>
      </c>
      <c r="F12" s="43" t="s">
        <v>37</v>
      </c>
      <c r="G12" s="44" t="s">
        <v>35</v>
      </c>
      <c r="H12" s="44" t="str">
        <f t="shared" si="6"/>
        <v>LEP00946254</v>
      </c>
      <c r="I12" s="45" t="s">
        <v>18</v>
      </c>
      <c r="J12" s="45" t="s">
        <v>18</v>
      </c>
      <c r="K12" s="45" t="s">
        <v>18</v>
      </c>
      <c r="L12" s="45" t="s">
        <v>18</v>
      </c>
      <c r="M12" s="45"/>
      <c r="N12" s="45"/>
      <c r="O12" s="45" t="s">
        <v>18</v>
      </c>
      <c r="P12" s="45" t="s">
        <v>18</v>
      </c>
      <c r="Q12" s="45" t="s">
        <v>18</v>
      </c>
      <c r="R12" s="45" t="s">
        <v>18</v>
      </c>
      <c r="S12" s="45" t="s">
        <v>18</v>
      </c>
      <c r="T12" s="45"/>
      <c r="U12" s="45"/>
      <c r="V12" s="45" t="s">
        <v>18</v>
      </c>
      <c r="W12" s="45" t="s">
        <v>18</v>
      </c>
      <c r="X12" s="45" t="s">
        <v>18</v>
      </c>
      <c r="Y12" s="45" t="s">
        <v>18</v>
      </c>
      <c r="Z12" s="45" t="s">
        <v>376</v>
      </c>
      <c r="AA12" s="45"/>
      <c r="AB12" s="45"/>
      <c r="AC12" s="45" t="s">
        <v>18</v>
      </c>
      <c r="AD12" s="45" t="s">
        <v>18</v>
      </c>
      <c r="AE12" s="45" t="s">
        <v>18</v>
      </c>
      <c r="AF12" s="45" t="s">
        <v>18</v>
      </c>
      <c r="AG12" s="45" t="s">
        <v>18</v>
      </c>
      <c r="AH12" s="45"/>
      <c r="AI12" s="45"/>
      <c r="AJ12" s="45" t="s">
        <v>18</v>
      </c>
      <c r="AK12" s="45" t="s">
        <v>18</v>
      </c>
      <c r="AL12" s="45" t="s">
        <v>18</v>
      </c>
      <c r="AM12" s="45" t="s">
        <v>18</v>
      </c>
      <c r="AN12" s="46">
        <v>23</v>
      </c>
      <c r="AO12" s="47">
        <f t="shared" si="0"/>
        <v>22</v>
      </c>
      <c r="AP12" s="47">
        <f t="shared" si="1"/>
        <v>1</v>
      </c>
      <c r="AQ12" s="47">
        <f t="shared" si="2"/>
        <v>0</v>
      </c>
      <c r="AR12" s="47">
        <f t="shared" si="3"/>
        <v>0</v>
      </c>
      <c r="AS12" s="47">
        <f t="shared" si="4"/>
        <v>0</v>
      </c>
      <c r="AT12" s="47">
        <f t="shared" si="5"/>
        <v>0</v>
      </c>
      <c r="AU12" s="47"/>
      <c r="AV12" s="48"/>
      <c r="AW12" s="49"/>
      <c r="AX12" s="50"/>
      <c r="AY12" s="49"/>
      <c r="AZ12" s="49"/>
      <c r="BA12" s="84"/>
      <c r="BB12" s="50">
        <v>-40000</v>
      </c>
      <c r="BC12" s="43">
        <v>8</v>
      </c>
      <c r="BD12" s="43">
        <v>2026</v>
      </c>
      <c r="BE12" s="51"/>
      <c r="BF12" s="20">
        <v>0</v>
      </c>
    </row>
    <row r="13" spans="1:58" ht="29.1" customHeight="1">
      <c r="A13" s="42">
        <v>6</v>
      </c>
      <c r="B13" s="42" t="s">
        <v>61</v>
      </c>
      <c r="C13" s="43"/>
      <c r="D13" s="43" t="s">
        <v>38</v>
      </c>
      <c r="E13" s="43" t="s">
        <v>95</v>
      </c>
      <c r="F13" s="43" t="s">
        <v>43</v>
      </c>
      <c r="G13" s="44" t="s">
        <v>51</v>
      </c>
      <c r="H13" s="44" t="str">
        <f t="shared" si="6"/>
        <v>LEP01046254</v>
      </c>
      <c r="I13" s="45" t="s">
        <v>18</v>
      </c>
      <c r="J13" s="45" t="s">
        <v>18</v>
      </c>
      <c r="K13" s="45" t="s">
        <v>18</v>
      </c>
      <c r="L13" s="45" t="s">
        <v>18</v>
      </c>
      <c r="M13" s="45" t="s">
        <v>18</v>
      </c>
      <c r="N13" s="45"/>
      <c r="O13" s="45" t="s">
        <v>18</v>
      </c>
      <c r="P13" s="45" t="s">
        <v>18</v>
      </c>
      <c r="Q13" s="45" t="s">
        <v>18</v>
      </c>
      <c r="R13" s="45" t="s">
        <v>459</v>
      </c>
      <c r="S13" s="45" t="s">
        <v>18</v>
      </c>
      <c r="T13" s="45" t="s">
        <v>18</v>
      </c>
      <c r="U13" s="45"/>
      <c r="V13" s="45" t="s">
        <v>18</v>
      </c>
      <c r="W13" s="45" t="s">
        <v>18</v>
      </c>
      <c r="X13" s="45" t="s">
        <v>18</v>
      </c>
      <c r="Y13" s="45" t="s">
        <v>18</v>
      </c>
      <c r="Z13" s="45" t="s">
        <v>18</v>
      </c>
      <c r="AA13" s="45" t="s">
        <v>508</v>
      </c>
      <c r="AB13" s="45"/>
      <c r="AC13" s="45" t="s">
        <v>18</v>
      </c>
      <c r="AD13" s="45" t="s">
        <v>18</v>
      </c>
      <c r="AE13" s="45" t="s">
        <v>18</v>
      </c>
      <c r="AF13" s="45" t="s">
        <v>18</v>
      </c>
      <c r="AG13" s="45" t="s">
        <v>18</v>
      </c>
      <c r="AH13" s="45" t="s">
        <v>18</v>
      </c>
      <c r="AI13" s="45"/>
      <c r="AJ13" s="45" t="s">
        <v>18</v>
      </c>
      <c r="AK13" s="45" t="s">
        <v>18</v>
      </c>
      <c r="AL13" s="45" t="s">
        <v>459</v>
      </c>
      <c r="AM13" s="45" t="s">
        <v>18</v>
      </c>
      <c r="AN13" s="46">
        <v>27</v>
      </c>
      <c r="AO13" s="47">
        <f t="shared" si="0"/>
        <v>24.5</v>
      </c>
      <c r="AP13" s="47">
        <f t="shared" si="1"/>
        <v>0.5</v>
      </c>
      <c r="AQ13" s="47">
        <f t="shared" si="2"/>
        <v>2</v>
      </c>
      <c r="AR13" s="47">
        <f t="shared" si="3"/>
        <v>0</v>
      </c>
      <c r="AS13" s="47">
        <f t="shared" si="4"/>
        <v>0</v>
      </c>
      <c r="AT13" s="47">
        <f t="shared" si="5"/>
        <v>0</v>
      </c>
      <c r="AU13" s="47"/>
      <c r="AV13" s="48"/>
      <c r="AW13" s="50">
        <f>(AO13+AP13)*BF13/AN13</f>
        <v>925925.92592592596</v>
      </c>
      <c r="AX13" s="50">
        <f>500000*(1-IF(COUNTIF(J13:AM13,"UL")&gt;=2,IF(COUNTIF(J13:AM13,"UL")&gt;=3,1,0.5),0))</f>
        <v>250000</v>
      </c>
      <c r="AY13" s="50"/>
      <c r="AZ13" s="50"/>
      <c r="BA13" s="50"/>
      <c r="BB13" s="50">
        <v>-40000</v>
      </c>
      <c r="BC13" s="43">
        <v>8</v>
      </c>
      <c r="BD13" s="43">
        <v>2026</v>
      </c>
      <c r="BE13" s="51"/>
      <c r="BF13" s="20">
        <v>1000000</v>
      </c>
    </row>
    <row r="14" spans="1:58" s="86" customFormat="1" ht="29.1" customHeight="1">
      <c r="A14" s="42">
        <v>7</v>
      </c>
      <c r="B14" s="76" t="s">
        <v>62</v>
      </c>
      <c r="C14" s="77"/>
      <c r="D14" s="77" t="s">
        <v>39</v>
      </c>
      <c r="E14" s="77" t="s">
        <v>78</v>
      </c>
      <c r="F14" s="77" t="s">
        <v>44</v>
      </c>
      <c r="G14" s="79" t="s">
        <v>51</v>
      </c>
      <c r="H14" s="44" t="str">
        <f t="shared" si="6"/>
        <v>LEP01146254</v>
      </c>
      <c r="I14" s="45" t="s">
        <v>18</v>
      </c>
      <c r="J14" s="45" t="s">
        <v>18</v>
      </c>
      <c r="K14" s="45" t="s">
        <v>18</v>
      </c>
      <c r="L14" s="45" t="s">
        <v>18</v>
      </c>
      <c r="M14" s="45"/>
      <c r="N14" s="45"/>
      <c r="O14" s="45" t="s">
        <v>18</v>
      </c>
      <c r="P14" s="45" t="s">
        <v>18</v>
      </c>
      <c r="Q14" s="45" t="s">
        <v>18</v>
      </c>
      <c r="R14" s="45" t="s">
        <v>18</v>
      </c>
      <c r="S14" s="45" t="s">
        <v>18</v>
      </c>
      <c r="T14" s="45">
        <v>0</v>
      </c>
      <c r="U14" s="45"/>
      <c r="V14" s="45">
        <v>0</v>
      </c>
      <c r="W14" s="87" t="s">
        <v>233</v>
      </c>
      <c r="X14" s="87">
        <v>0</v>
      </c>
      <c r="Y14" s="87">
        <v>0</v>
      </c>
      <c r="Z14" s="87">
        <v>0</v>
      </c>
      <c r="AA14" s="87">
        <v>0</v>
      </c>
      <c r="AB14" s="87"/>
      <c r="AC14" s="87">
        <v>0</v>
      </c>
      <c r="AD14" s="87">
        <v>0</v>
      </c>
      <c r="AE14" s="87">
        <v>0</v>
      </c>
      <c r="AF14" s="87">
        <v>0</v>
      </c>
      <c r="AG14" s="87">
        <v>0</v>
      </c>
      <c r="AH14" s="87"/>
      <c r="AI14" s="87"/>
      <c r="AJ14" s="87">
        <v>0</v>
      </c>
      <c r="AK14" s="87">
        <v>0</v>
      </c>
      <c r="AL14" s="87">
        <v>0</v>
      </c>
      <c r="AM14" s="87">
        <v>0</v>
      </c>
      <c r="AN14" s="46">
        <v>23</v>
      </c>
      <c r="AO14" s="82">
        <f t="shared" si="0"/>
        <v>9</v>
      </c>
      <c r="AP14" s="82">
        <f t="shared" si="1"/>
        <v>0</v>
      </c>
      <c r="AQ14" s="82">
        <f t="shared" si="2"/>
        <v>0</v>
      </c>
      <c r="AR14" s="82">
        <f t="shared" si="3"/>
        <v>0</v>
      </c>
      <c r="AS14" s="82">
        <f t="shared" si="4"/>
        <v>0</v>
      </c>
      <c r="AT14" s="82">
        <f t="shared" si="5"/>
        <v>0</v>
      </c>
      <c r="AU14" s="82"/>
      <c r="AV14" s="83"/>
      <c r="AW14" s="84"/>
      <c r="AX14" s="84"/>
      <c r="AY14" s="84"/>
      <c r="AZ14" s="84"/>
      <c r="BA14" s="88"/>
      <c r="BB14" s="84">
        <v>-40000</v>
      </c>
      <c r="BC14" s="77">
        <v>8</v>
      </c>
      <c r="BD14" s="77">
        <v>2026</v>
      </c>
      <c r="BE14" s="92" t="s">
        <v>455</v>
      </c>
      <c r="BF14" s="20">
        <v>0</v>
      </c>
    </row>
    <row r="15" spans="1:58" ht="29.1" customHeight="1">
      <c r="A15" s="42">
        <v>8</v>
      </c>
      <c r="B15" s="42" t="s">
        <v>65</v>
      </c>
      <c r="C15" s="43"/>
      <c r="D15" s="43" t="s">
        <v>42</v>
      </c>
      <c r="E15" s="43" t="s">
        <v>74</v>
      </c>
      <c r="F15" s="43" t="s">
        <v>47</v>
      </c>
      <c r="G15" s="44" t="s">
        <v>53</v>
      </c>
      <c r="H15" s="44" t="str">
        <f t="shared" si="6"/>
        <v>LEP01446254</v>
      </c>
      <c r="I15" s="45" t="s">
        <v>18</v>
      </c>
      <c r="J15" s="45" t="s">
        <v>18</v>
      </c>
      <c r="K15" s="45" t="s">
        <v>18</v>
      </c>
      <c r="L15" s="45" t="s">
        <v>18</v>
      </c>
      <c r="M15" s="45" t="s">
        <v>18</v>
      </c>
      <c r="N15" s="45"/>
      <c r="O15" s="45" t="s">
        <v>18</v>
      </c>
      <c r="P15" s="45" t="s">
        <v>18</v>
      </c>
      <c r="Q15" s="45" t="s">
        <v>18</v>
      </c>
      <c r="R15" s="45" t="s">
        <v>18</v>
      </c>
      <c r="S15" s="45" t="s">
        <v>18</v>
      </c>
      <c r="T15" s="45" t="s">
        <v>18</v>
      </c>
      <c r="U15" s="45"/>
      <c r="V15" s="45" t="s">
        <v>18</v>
      </c>
      <c r="W15" s="45" t="s">
        <v>18</v>
      </c>
      <c r="X15" s="45" t="s">
        <v>18</v>
      </c>
      <c r="Y15" s="87" t="s">
        <v>233</v>
      </c>
      <c r="Z15" s="87">
        <v>0</v>
      </c>
      <c r="AA15" s="87">
        <v>0</v>
      </c>
      <c r="AB15" s="87"/>
      <c r="AC15" s="87">
        <v>0</v>
      </c>
      <c r="AD15" s="87">
        <v>0</v>
      </c>
      <c r="AE15" s="87">
        <v>0</v>
      </c>
      <c r="AF15" s="87">
        <v>0</v>
      </c>
      <c r="AG15" s="87">
        <v>0</v>
      </c>
      <c r="AH15" s="87"/>
      <c r="AI15" s="87"/>
      <c r="AJ15" s="87">
        <v>0</v>
      </c>
      <c r="AK15" s="87">
        <v>0</v>
      </c>
      <c r="AL15" s="87">
        <v>0</v>
      </c>
      <c r="AM15" s="87">
        <v>0</v>
      </c>
      <c r="AN15" s="46">
        <v>27</v>
      </c>
      <c r="AO15" s="47">
        <f t="shared" si="0"/>
        <v>14</v>
      </c>
      <c r="AP15" s="47">
        <f t="shared" si="1"/>
        <v>0</v>
      </c>
      <c r="AQ15" s="47">
        <f t="shared" si="2"/>
        <v>0</v>
      </c>
      <c r="AR15" s="47">
        <f t="shared" si="3"/>
        <v>0</v>
      </c>
      <c r="AS15" s="47">
        <f t="shared" si="4"/>
        <v>0</v>
      </c>
      <c r="AT15" s="47">
        <f t="shared" si="5"/>
        <v>0</v>
      </c>
      <c r="AU15" s="47"/>
      <c r="AV15" s="48"/>
      <c r="AW15" s="50">
        <f t="shared" ref="AW15:AW78" si="7">(AO15+AP15)*BF15/AN15</f>
        <v>0</v>
      </c>
      <c r="AX15" s="50">
        <f>500000*(1-IF(COUNTIF(J15:AM15,"UL")&gt;=2,IF(COUNTIF(J15:AM15,"UL")&gt;=3,1,0.5),0))</f>
        <v>500000</v>
      </c>
      <c r="AY15" s="51"/>
      <c r="AZ15" s="50"/>
      <c r="BA15" s="49"/>
      <c r="BB15" s="50">
        <v>-40000</v>
      </c>
      <c r="BC15" s="43">
        <v>8</v>
      </c>
      <c r="BD15" s="43">
        <v>2026</v>
      </c>
      <c r="BE15" s="51"/>
      <c r="BF15" s="20">
        <v>0</v>
      </c>
    </row>
    <row r="16" spans="1:58" ht="29.1" customHeight="1">
      <c r="A16" s="42">
        <v>9</v>
      </c>
      <c r="B16" s="42" t="s">
        <v>66</v>
      </c>
      <c r="C16" s="43"/>
      <c r="D16" s="43" t="s">
        <v>70</v>
      </c>
      <c r="E16" s="43" t="s">
        <v>95</v>
      </c>
      <c r="F16" s="43" t="s">
        <v>50</v>
      </c>
      <c r="G16" s="44" t="s">
        <v>54</v>
      </c>
      <c r="H16" s="44" t="str">
        <f t="shared" si="6"/>
        <v>LEP01846254</v>
      </c>
      <c r="I16" s="45" t="s">
        <v>18</v>
      </c>
      <c r="J16" s="45" t="s">
        <v>18</v>
      </c>
      <c r="K16" s="45" t="s">
        <v>18</v>
      </c>
      <c r="L16" s="45" t="s">
        <v>18</v>
      </c>
      <c r="M16" s="45" t="s">
        <v>18</v>
      </c>
      <c r="N16" s="45"/>
      <c r="O16" s="45" t="s">
        <v>18</v>
      </c>
      <c r="P16" s="45" t="s">
        <v>18</v>
      </c>
      <c r="Q16" s="45" t="s">
        <v>18</v>
      </c>
      <c r="R16" s="45" t="s">
        <v>18</v>
      </c>
      <c r="S16" s="45" t="s">
        <v>376</v>
      </c>
      <c r="T16" s="45" t="s">
        <v>18</v>
      </c>
      <c r="U16" s="45"/>
      <c r="V16" s="45" t="s">
        <v>18</v>
      </c>
      <c r="W16" s="45" t="s">
        <v>18</v>
      </c>
      <c r="X16" s="45" t="s">
        <v>18</v>
      </c>
      <c r="Y16" s="45" t="s">
        <v>18</v>
      </c>
      <c r="Z16" s="45" t="s">
        <v>18</v>
      </c>
      <c r="AA16" s="45" t="s">
        <v>18</v>
      </c>
      <c r="AB16" s="45"/>
      <c r="AC16" s="45" t="s">
        <v>18</v>
      </c>
      <c r="AD16" s="45" t="s">
        <v>18</v>
      </c>
      <c r="AE16" s="45" t="s">
        <v>18</v>
      </c>
      <c r="AF16" s="45" t="s">
        <v>18</v>
      </c>
      <c r="AG16" s="45" t="s">
        <v>18</v>
      </c>
      <c r="AH16" s="45" t="s">
        <v>18</v>
      </c>
      <c r="AI16" s="45"/>
      <c r="AJ16" s="45" t="s">
        <v>18</v>
      </c>
      <c r="AK16" s="45" t="s">
        <v>18</v>
      </c>
      <c r="AL16" s="45" t="s">
        <v>18</v>
      </c>
      <c r="AM16" s="45" t="s">
        <v>18</v>
      </c>
      <c r="AN16" s="46">
        <v>27</v>
      </c>
      <c r="AO16" s="47">
        <f t="shared" si="0"/>
        <v>26</v>
      </c>
      <c r="AP16" s="47">
        <f t="shared" si="1"/>
        <v>1</v>
      </c>
      <c r="AQ16" s="47">
        <f t="shared" si="2"/>
        <v>0</v>
      </c>
      <c r="AR16" s="47">
        <f t="shared" si="3"/>
        <v>0</v>
      </c>
      <c r="AS16" s="47">
        <f t="shared" si="4"/>
        <v>0</v>
      </c>
      <c r="AT16" s="47">
        <f t="shared" si="5"/>
        <v>0</v>
      </c>
      <c r="AU16" s="47"/>
      <c r="AV16" s="48"/>
      <c r="AW16" s="50">
        <f t="shared" si="7"/>
        <v>1000000</v>
      </c>
      <c r="AX16" s="50">
        <f>500000*(1-IF(COUNTIF(J16:AM16,"UL")&gt;=2,IF(COUNTIF(J16:AM16,"UL")&gt;=3,1,0.5),0))</f>
        <v>500000</v>
      </c>
      <c r="AY16" s="50"/>
      <c r="AZ16" s="50"/>
      <c r="BA16" s="50"/>
      <c r="BB16" s="50">
        <v>-40000</v>
      </c>
      <c r="BC16" s="43">
        <v>8</v>
      </c>
      <c r="BD16" s="43">
        <v>2026</v>
      </c>
      <c r="BE16" s="51"/>
      <c r="BF16" s="20">
        <v>1000000</v>
      </c>
    </row>
    <row r="17" spans="1:58" ht="29.1" customHeight="1">
      <c r="A17" s="42">
        <v>10</v>
      </c>
      <c r="B17" s="42" t="s">
        <v>67</v>
      </c>
      <c r="C17" s="43"/>
      <c r="D17" s="43" t="s">
        <v>72</v>
      </c>
      <c r="E17" s="43" t="s">
        <v>74</v>
      </c>
      <c r="F17" s="43" t="s">
        <v>48</v>
      </c>
      <c r="G17" s="44" t="s">
        <v>54</v>
      </c>
      <c r="H17" s="44" t="str">
        <f t="shared" si="6"/>
        <v>LEP02246254</v>
      </c>
      <c r="I17" s="45" t="s">
        <v>18</v>
      </c>
      <c r="J17" s="45" t="s">
        <v>18</v>
      </c>
      <c r="K17" s="45" t="s">
        <v>18</v>
      </c>
      <c r="L17" s="45" t="s">
        <v>18</v>
      </c>
      <c r="M17" s="45" t="s">
        <v>18</v>
      </c>
      <c r="N17" s="45"/>
      <c r="O17" s="45" t="s">
        <v>18</v>
      </c>
      <c r="P17" s="45" t="s">
        <v>18</v>
      </c>
      <c r="Q17" s="45" t="s">
        <v>18</v>
      </c>
      <c r="R17" s="45" t="s">
        <v>18</v>
      </c>
      <c r="S17" s="45" t="s">
        <v>18</v>
      </c>
      <c r="T17" s="45" t="s">
        <v>18</v>
      </c>
      <c r="U17" s="45"/>
      <c r="V17" s="45" t="s">
        <v>18</v>
      </c>
      <c r="W17" s="45" t="s">
        <v>18</v>
      </c>
      <c r="X17" s="45" t="s">
        <v>18</v>
      </c>
      <c r="Y17" s="45" t="s">
        <v>18</v>
      </c>
      <c r="Z17" s="45" t="s">
        <v>18</v>
      </c>
      <c r="AA17" s="45" t="s">
        <v>18</v>
      </c>
      <c r="AB17" s="45"/>
      <c r="AC17" s="45" t="s">
        <v>18</v>
      </c>
      <c r="AD17" s="45" t="s">
        <v>18</v>
      </c>
      <c r="AE17" s="45" t="s">
        <v>18</v>
      </c>
      <c r="AF17" s="45" t="s">
        <v>18</v>
      </c>
      <c r="AG17" s="45" t="s">
        <v>18</v>
      </c>
      <c r="AH17" s="45" t="s">
        <v>18</v>
      </c>
      <c r="AI17" s="45"/>
      <c r="AJ17" s="45" t="s">
        <v>18</v>
      </c>
      <c r="AK17" s="45" t="s">
        <v>18</v>
      </c>
      <c r="AL17" s="45" t="s">
        <v>18</v>
      </c>
      <c r="AM17" s="45" t="s">
        <v>18</v>
      </c>
      <c r="AN17" s="46">
        <v>27</v>
      </c>
      <c r="AO17" s="47">
        <f t="shared" si="0"/>
        <v>27</v>
      </c>
      <c r="AP17" s="47">
        <f t="shared" si="1"/>
        <v>0</v>
      </c>
      <c r="AQ17" s="47">
        <f t="shared" si="2"/>
        <v>0</v>
      </c>
      <c r="AR17" s="47">
        <f t="shared" si="3"/>
        <v>0</v>
      </c>
      <c r="AS17" s="47">
        <f t="shared" si="4"/>
        <v>0</v>
      </c>
      <c r="AT17" s="47">
        <f t="shared" si="5"/>
        <v>0</v>
      </c>
      <c r="AU17" s="47"/>
      <c r="AV17" s="48"/>
      <c r="AW17" s="50">
        <f t="shared" si="7"/>
        <v>1064259</v>
      </c>
      <c r="AX17" s="50">
        <f>500000*(1-IF(COUNTIF(J17:AM17,"UL")&gt;=2,IF(COUNTIF(J17:AM17,"UL")&gt;=3,1,0.5),0))</f>
        <v>500000</v>
      </c>
      <c r="AY17" s="50"/>
      <c r="AZ17" s="50"/>
      <c r="BA17" s="50"/>
      <c r="BB17" s="50">
        <v>-40000</v>
      </c>
      <c r="BC17" s="43">
        <v>8</v>
      </c>
      <c r="BD17" s="43">
        <v>2026</v>
      </c>
      <c r="BE17" s="51"/>
      <c r="BF17" s="20">
        <v>1064259</v>
      </c>
    </row>
    <row r="18" spans="1:58" ht="29.1" customHeight="1">
      <c r="A18" s="42">
        <v>11</v>
      </c>
      <c r="B18" s="42" t="s">
        <v>69</v>
      </c>
      <c r="C18" s="43"/>
      <c r="D18" s="43" t="s">
        <v>83</v>
      </c>
      <c r="E18" s="43" t="s">
        <v>78</v>
      </c>
      <c r="F18" s="43" t="s">
        <v>44</v>
      </c>
      <c r="G18" s="44" t="s">
        <v>84</v>
      </c>
      <c r="H18" s="44" t="str">
        <f t="shared" si="6"/>
        <v>LEP02346254</v>
      </c>
      <c r="I18" s="45" t="s">
        <v>18</v>
      </c>
      <c r="J18" s="45" t="s">
        <v>18</v>
      </c>
      <c r="K18" s="45" t="s">
        <v>18</v>
      </c>
      <c r="L18" s="45" t="s">
        <v>18</v>
      </c>
      <c r="M18" s="45">
        <v>0</v>
      </c>
      <c r="N18" s="45"/>
      <c r="O18" s="45" t="s">
        <v>18</v>
      </c>
      <c r="P18" s="45" t="s">
        <v>18</v>
      </c>
      <c r="Q18" s="45" t="s">
        <v>18</v>
      </c>
      <c r="R18" s="45" t="s">
        <v>18</v>
      </c>
      <c r="S18" s="45" t="s">
        <v>18</v>
      </c>
      <c r="T18" s="45">
        <v>0</v>
      </c>
      <c r="U18" s="45"/>
      <c r="V18" s="45" t="s">
        <v>18</v>
      </c>
      <c r="W18" s="45" t="s">
        <v>18</v>
      </c>
      <c r="X18" s="45" t="s">
        <v>18</v>
      </c>
      <c r="Y18" s="45" t="s">
        <v>18</v>
      </c>
      <c r="Z18" s="45" t="s">
        <v>18</v>
      </c>
      <c r="AA18" s="45"/>
      <c r="AB18" s="45"/>
      <c r="AC18" s="45" t="s">
        <v>18</v>
      </c>
      <c r="AD18" s="45" t="s">
        <v>18</v>
      </c>
      <c r="AE18" s="45" t="s">
        <v>18</v>
      </c>
      <c r="AF18" s="45" t="s">
        <v>18</v>
      </c>
      <c r="AG18" s="45" t="s">
        <v>18</v>
      </c>
      <c r="AH18" s="45"/>
      <c r="AI18" s="45"/>
      <c r="AJ18" s="45" t="s">
        <v>18</v>
      </c>
      <c r="AK18" s="45" t="s">
        <v>18</v>
      </c>
      <c r="AL18" s="45" t="s">
        <v>18</v>
      </c>
      <c r="AM18" s="45" t="s">
        <v>18</v>
      </c>
      <c r="AN18" s="46">
        <v>23</v>
      </c>
      <c r="AO18" s="47">
        <f t="shared" si="0"/>
        <v>23</v>
      </c>
      <c r="AP18" s="47">
        <f t="shared" si="1"/>
        <v>0</v>
      </c>
      <c r="AQ18" s="47">
        <f t="shared" si="2"/>
        <v>0</v>
      </c>
      <c r="AR18" s="47">
        <f t="shared" si="3"/>
        <v>0</v>
      </c>
      <c r="AS18" s="47">
        <f t="shared" si="4"/>
        <v>0</v>
      </c>
      <c r="AT18" s="47">
        <f t="shared" si="5"/>
        <v>0</v>
      </c>
      <c r="AU18" s="47"/>
      <c r="AV18" s="48"/>
      <c r="AW18" s="50">
        <f t="shared" si="7"/>
        <v>0</v>
      </c>
      <c r="AX18" s="50"/>
      <c r="AY18" s="50"/>
      <c r="AZ18" s="50"/>
      <c r="BA18" s="50"/>
      <c r="BB18" s="50">
        <v>-40000</v>
      </c>
      <c r="BC18" s="43">
        <v>8</v>
      </c>
      <c r="BD18" s="43">
        <v>2026</v>
      </c>
      <c r="BE18" s="51"/>
      <c r="BF18" s="20">
        <v>0</v>
      </c>
    </row>
    <row r="19" spans="1:58" ht="29.1" customHeight="1">
      <c r="A19" s="42">
        <v>12</v>
      </c>
      <c r="B19" s="42" t="s">
        <v>71</v>
      </c>
      <c r="C19" s="56"/>
      <c r="D19" s="100" t="s">
        <v>431</v>
      </c>
      <c r="E19" s="56" t="s">
        <v>95</v>
      </c>
      <c r="F19" s="56" t="s">
        <v>105</v>
      </c>
      <c r="G19" s="57"/>
      <c r="H19" s="44" t="str">
        <f t="shared" si="6"/>
        <v>LEP02646254</v>
      </c>
      <c r="I19" s="45" t="s">
        <v>18</v>
      </c>
      <c r="J19" s="45" t="s">
        <v>18</v>
      </c>
      <c r="K19" s="45" t="s">
        <v>18</v>
      </c>
      <c r="L19" s="45" t="s">
        <v>18</v>
      </c>
      <c r="M19" s="45" t="s">
        <v>18</v>
      </c>
      <c r="N19" s="45"/>
      <c r="O19" s="45" t="s">
        <v>18</v>
      </c>
      <c r="P19" s="45" t="s">
        <v>18</v>
      </c>
      <c r="Q19" s="45" t="s">
        <v>18</v>
      </c>
      <c r="R19" s="45" t="s">
        <v>18</v>
      </c>
      <c r="S19" s="45" t="s">
        <v>18</v>
      </c>
      <c r="T19" s="45" t="s">
        <v>18</v>
      </c>
      <c r="U19" s="45"/>
      <c r="V19" s="45" t="s">
        <v>18</v>
      </c>
      <c r="W19" s="45" t="s">
        <v>18</v>
      </c>
      <c r="X19" s="45" t="s">
        <v>18</v>
      </c>
      <c r="Y19" s="45" t="s">
        <v>18</v>
      </c>
      <c r="Z19" s="45" t="s">
        <v>18</v>
      </c>
      <c r="AA19" s="45" t="s">
        <v>18</v>
      </c>
      <c r="AB19" s="45"/>
      <c r="AC19" s="45" t="s">
        <v>18</v>
      </c>
      <c r="AD19" s="45" t="s">
        <v>18</v>
      </c>
      <c r="AE19" s="45" t="s">
        <v>18</v>
      </c>
      <c r="AF19" s="45" t="s">
        <v>18</v>
      </c>
      <c r="AG19" s="45" t="s">
        <v>18</v>
      </c>
      <c r="AH19" s="45" t="s">
        <v>18</v>
      </c>
      <c r="AI19" s="45"/>
      <c r="AJ19" s="45" t="s">
        <v>18</v>
      </c>
      <c r="AK19" s="45" t="s">
        <v>18</v>
      </c>
      <c r="AL19" s="45" t="s">
        <v>18</v>
      </c>
      <c r="AM19" s="45" t="s">
        <v>18</v>
      </c>
      <c r="AN19" s="46">
        <v>27</v>
      </c>
      <c r="AO19" s="47">
        <f t="shared" si="0"/>
        <v>27</v>
      </c>
      <c r="AP19" s="47">
        <f t="shared" si="1"/>
        <v>0</v>
      </c>
      <c r="AQ19" s="47">
        <f t="shared" si="2"/>
        <v>0</v>
      </c>
      <c r="AR19" s="47">
        <f t="shared" si="3"/>
        <v>0</v>
      </c>
      <c r="AS19" s="47">
        <f t="shared" si="4"/>
        <v>0</v>
      </c>
      <c r="AT19" s="47">
        <f t="shared" si="5"/>
        <v>0</v>
      </c>
      <c r="AU19" s="47"/>
      <c r="AV19" s="48"/>
      <c r="AW19" s="50">
        <f t="shared" si="7"/>
        <v>1000000</v>
      </c>
      <c r="AX19" s="50">
        <f>500000*(1-IF(COUNTIF(J19:AM19,"UL")&gt;=2,IF(COUNTIF(J19:AM19,"UL")&gt;=3,1,0.5),0))</f>
        <v>500000</v>
      </c>
      <c r="AY19" s="52"/>
      <c r="AZ19" s="52"/>
      <c r="BA19" s="52"/>
      <c r="BB19" s="52">
        <v>-40000</v>
      </c>
      <c r="BC19" s="56">
        <v>8</v>
      </c>
      <c r="BD19" s="56">
        <v>2026</v>
      </c>
      <c r="BE19" s="51"/>
      <c r="BF19" s="20">
        <v>1000000</v>
      </c>
    </row>
    <row r="20" spans="1:58" ht="29.1" customHeight="1">
      <c r="A20" s="42">
        <v>13</v>
      </c>
      <c r="B20" s="42" t="s">
        <v>80</v>
      </c>
      <c r="C20" s="56"/>
      <c r="D20" s="56" t="s">
        <v>118</v>
      </c>
      <c r="E20" s="56" t="s">
        <v>77</v>
      </c>
      <c r="F20" s="56" t="s">
        <v>93</v>
      </c>
      <c r="G20" s="57" t="s">
        <v>94</v>
      </c>
      <c r="H20" s="44" t="str">
        <f t="shared" si="6"/>
        <v>LEP02746254</v>
      </c>
      <c r="I20" s="45" t="s">
        <v>507</v>
      </c>
      <c r="J20" s="45" t="s">
        <v>507</v>
      </c>
      <c r="K20" s="45" t="s">
        <v>507</v>
      </c>
      <c r="L20" s="45" t="s">
        <v>507</v>
      </c>
      <c r="M20" s="45" t="s">
        <v>376</v>
      </c>
      <c r="N20" s="45"/>
      <c r="O20" s="45" t="s">
        <v>18</v>
      </c>
      <c r="P20" s="45" t="s">
        <v>18</v>
      </c>
      <c r="Q20" s="45" t="s">
        <v>18</v>
      </c>
      <c r="R20" s="45" t="s">
        <v>18</v>
      </c>
      <c r="S20" s="45" t="s">
        <v>18</v>
      </c>
      <c r="T20" s="45" t="s">
        <v>18</v>
      </c>
      <c r="U20" s="45"/>
      <c r="V20" s="45" t="s">
        <v>18</v>
      </c>
      <c r="W20" s="45" t="s">
        <v>18</v>
      </c>
      <c r="X20" s="45" t="s">
        <v>18</v>
      </c>
      <c r="Y20" s="45" t="s">
        <v>18</v>
      </c>
      <c r="Z20" s="45" t="s">
        <v>18</v>
      </c>
      <c r="AA20" s="45" t="s">
        <v>18</v>
      </c>
      <c r="AB20" s="45"/>
      <c r="AC20" s="45" t="s">
        <v>18</v>
      </c>
      <c r="AD20" s="45" t="s">
        <v>18</v>
      </c>
      <c r="AE20" s="45" t="s">
        <v>18</v>
      </c>
      <c r="AF20" s="45" t="s">
        <v>18</v>
      </c>
      <c r="AG20" s="45" t="s">
        <v>18</v>
      </c>
      <c r="AH20" s="45" t="s">
        <v>18</v>
      </c>
      <c r="AI20" s="45"/>
      <c r="AJ20" s="45" t="s">
        <v>18</v>
      </c>
      <c r="AK20" s="45" t="s">
        <v>18</v>
      </c>
      <c r="AL20" s="45" t="s">
        <v>18</v>
      </c>
      <c r="AM20" s="45" t="s">
        <v>18</v>
      </c>
      <c r="AN20" s="46">
        <v>27</v>
      </c>
      <c r="AO20" s="47">
        <f t="shared" si="0"/>
        <v>22</v>
      </c>
      <c r="AP20" s="47">
        <f t="shared" si="1"/>
        <v>1</v>
      </c>
      <c r="AQ20" s="47">
        <f t="shared" si="2"/>
        <v>0</v>
      </c>
      <c r="AR20" s="47">
        <f t="shared" si="3"/>
        <v>0</v>
      </c>
      <c r="AS20" s="47">
        <f t="shared" si="4"/>
        <v>4</v>
      </c>
      <c r="AT20" s="47">
        <f t="shared" si="5"/>
        <v>0</v>
      </c>
      <c r="AU20" s="47"/>
      <c r="AV20" s="48"/>
      <c r="AW20" s="50">
        <f t="shared" si="7"/>
        <v>851851.8518518518</v>
      </c>
      <c r="AX20" s="50">
        <v>500000</v>
      </c>
      <c r="AY20" s="52"/>
      <c r="AZ20" s="52"/>
      <c r="BA20" s="50"/>
      <c r="BB20" s="50">
        <v>-40000</v>
      </c>
      <c r="BC20" s="43">
        <v>8</v>
      </c>
      <c r="BD20" s="43">
        <v>2026</v>
      </c>
      <c r="BE20" s="51"/>
      <c r="BF20" s="20">
        <v>1000000</v>
      </c>
    </row>
    <row r="21" spans="1:58" ht="29.1" customHeight="1">
      <c r="A21" s="42">
        <v>14</v>
      </c>
      <c r="B21" s="42" t="s">
        <v>81</v>
      </c>
      <c r="C21" s="56"/>
      <c r="D21" s="56" t="s">
        <v>86</v>
      </c>
      <c r="E21" s="56" t="s">
        <v>95</v>
      </c>
      <c r="F21" s="56" t="s">
        <v>96</v>
      </c>
      <c r="G21" s="57" t="s">
        <v>123</v>
      </c>
      <c r="H21" s="44" t="str">
        <f t="shared" si="6"/>
        <v>LEP02846254</v>
      </c>
      <c r="I21" s="45" t="s">
        <v>18</v>
      </c>
      <c r="J21" s="45" t="s">
        <v>18</v>
      </c>
      <c r="K21" s="45" t="s">
        <v>18</v>
      </c>
      <c r="L21" s="45" t="s">
        <v>18</v>
      </c>
      <c r="M21" s="45" t="s">
        <v>18</v>
      </c>
      <c r="N21" s="45"/>
      <c r="O21" s="45" t="s">
        <v>18</v>
      </c>
      <c r="P21" s="45" t="s">
        <v>18</v>
      </c>
      <c r="Q21" s="45" t="s">
        <v>18</v>
      </c>
      <c r="R21" s="45" t="s">
        <v>18</v>
      </c>
      <c r="S21" s="45" t="s">
        <v>18</v>
      </c>
      <c r="T21" s="45" t="s">
        <v>18</v>
      </c>
      <c r="U21" s="45"/>
      <c r="V21" s="45" t="s">
        <v>459</v>
      </c>
      <c r="W21" s="45" t="s">
        <v>18</v>
      </c>
      <c r="X21" s="45" t="s">
        <v>18</v>
      </c>
      <c r="Y21" s="45" t="s">
        <v>18</v>
      </c>
      <c r="Z21" s="45" t="s">
        <v>18</v>
      </c>
      <c r="AA21" s="45" t="s">
        <v>18</v>
      </c>
      <c r="AB21" s="45"/>
      <c r="AC21" s="45" t="s">
        <v>18</v>
      </c>
      <c r="AD21" s="45" t="s">
        <v>18</v>
      </c>
      <c r="AE21" s="45" t="s">
        <v>18</v>
      </c>
      <c r="AF21" s="45" t="s">
        <v>18</v>
      </c>
      <c r="AG21" s="45" t="s">
        <v>18</v>
      </c>
      <c r="AH21" s="45" t="s">
        <v>18</v>
      </c>
      <c r="AI21" s="45"/>
      <c r="AJ21" s="45" t="s">
        <v>18</v>
      </c>
      <c r="AK21" s="45" t="s">
        <v>18</v>
      </c>
      <c r="AL21" s="45" t="s">
        <v>18</v>
      </c>
      <c r="AM21" s="45" t="s">
        <v>18</v>
      </c>
      <c r="AN21" s="46">
        <v>27</v>
      </c>
      <c r="AO21" s="47">
        <f t="shared" si="0"/>
        <v>26</v>
      </c>
      <c r="AP21" s="47">
        <f t="shared" si="1"/>
        <v>0</v>
      </c>
      <c r="AQ21" s="47">
        <f t="shared" si="2"/>
        <v>1</v>
      </c>
      <c r="AR21" s="47">
        <f t="shared" si="3"/>
        <v>0</v>
      </c>
      <c r="AS21" s="47">
        <f t="shared" si="4"/>
        <v>0</v>
      </c>
      <c r="AT21" s="47">
        <f t="shared" si="5"/>
        <v>0</v>
      </c>
      <c r="AU21" s="47"/>
      <c r="AV21" s="48"/>
      <c r="AW21" s="50">
        <f t="shared" si="7"/>
        <v>962962.96296296292</v>
      </c>
      <c r="AX21" s="52">
        <f>500000*(1-IF(COUNTIF(J21:AM21,"UL")&gt;=2,IF(COUNTIF(J21:AM21,"UL")&gt;=3,1,0.5),0))</f>
        <v>500000</v>
      </c>
      <c r="AY21" s="52"/>
      <c r="AZ21" s="52"/>
      <c r="BA21" s="52"/>
      <c r="BB21" s="52">
        <v>-40000</v>
      </c>
      <c r="BC21" s="56">
        <v>8</v>
      </c>
      <c r="BD21" s="56">
        <v>2026</v>
      </c>
      <c r="BE21" s="58"/>
      <c r="BF21" s="20">
        <v>1000000</v>
      </c>
    </row>
    <row r="22" spans="1:58" ht="29.1" customHeight="1">
      <c r="A22" s="42">
        <v>15</v>
      </c>
      <c r="B22" s="42" t="s">
        <v>85</v>
      </c>
      <c r="C22" s="56"/>
      <c r="D22" s="56" t="s">
        <v>87</v>
      </c>
      <c r="E22" s="56" t="s">
        <v>95</v>
      </c>
      <c r="F22" s="56" t="s">
        <v>97</v>
      </c>
      <c r="G22" s="57" t="s">
        <v>123</v>
      </c>
      <c r="H22" s="44" t="str">
        <f t="shared" si="6"/>
        <v>LEP02946254</v>
      </c>
      <c r="I22" s="45" t="s">
        <v>18</v>
      </c>
      <c r="J22" s="45" t="s">
        <v>18</v>
      </c>
      <c r="K22" s="45" t="s">
        <v>18</v>
      </c>
      <c r="L22" s="45" t="s">
        <v>18</v>
      </c>
      <c r="M22" s="45" t="s">
        <v>18</v>
      </c>
      <c r="N22" s="45"/>
      <c r="O22" s="45" t="s">
        <v>18</v>
      </c>
      <c r="P22" s="45" t="s">
        <v>18</v>
      </c>
      <c r="Q22" s="45" t="s">
        <v>18</v>
      </c>
      <c r="R22" s="45" t="s">
        <v>18</v>
      </c>
      <c r="S22" s="45" t="s">
        <v>18</v>
      </c>
      <c r="T22" s="45" t="s">
        <v>18</v>
      </c>
      <c r="U22" s="45"/>
      <c r="V22" s="45" t="s">
        <v>18</v>
      </c>
      <c r="W22" s="45" t="s">
        <v>18</v>
      </c>
      <c r="X22" s="45" t="s">
        <v>18</v>
      </c>
      <c r="Y22" s="45" t="s">
        <v>18</v>
      </c>
      <c r="Z22" s="45" t="s">
        <v>376</v>
      </c>
      <c r="AA22" s="45" t="s">
        <v>18</v>
      </c>
      <c r="AB22" s="45"/>
      <c r="AC22" s="45" t="s">
        <v>18</v>
      </c>
      <c r="AD22" s="45" t="s">
        <v>18</v>
      </c>
      <c r="AE22" s="45" t="s">
        <v>18</v>
      </c>
      <c r="AF22" s="45" t="s">
        <v>459</v>
      </c>
      <c r="AG22" s="45" t="s">
        <v>18</v>
      </c>
      <c r="AH22" s="45" t="s">
        <v>18</v>
      </c>
      <c r="AI22" s="45"/>
      <c r="AJ22" s="45" t="s">
        <v>18</v>
      </c>
      <c r="AK22" s="45" t="s">
        <v>18</v>
      </c>
      <c r="AL22" s="45" t="s">
        <v>18</v>
      </c>
      <c r="AM22" s="45" t="s">
        <v>18</v>
      </c>
      <c r="AN22" s="46">
        <v>27</v>
      </c>
      <c r="AO22" s="47">
        <f t="shared" si="0"/>
        <v>25</v>
      </c>
      <c r="AP22" s="47">
        <f t="shared" si="1"/>
        <v>1</v>
      </c>
      <c r="AQ22" s="47">
        <f t="shared" si="2"/>
        <v>1</v>
      </c>
      <c r="AR22" s="47">
        <f t="shared" si="3"/>
        <v>0</v>
      </c>
      <c r="AS22" s="47">
        <f t="shared" si="4"/>
        <v>0</v>
      </c>
      <c r="AT22" s="47">
        <f t="shared" si="5"/>
        <v>0</v>
      </c>
      <c r="AU22" s="47"/>
      <c r="AV22" s="48"/>
      <c r="AW22" s="50">
        <f t="shared" si="7"/>
        <v>962962.96296296292</v>
      </c>
      <c r="AX22" s="52">
        <f>500000*(1-IF(COUNTIF(J22:AM22,"UL")&gt;=2,IF(COUNTIF(J22:AM22,"UL")&gt;=3,1,0.5),0))</f>
        <v>500000</v>
      </c>
      <c r="AY22" s="52"/>
      <c r="AZ22" s="52"/>
      <c r="BA22" s="52"/>
      <c r="BB22" s="52">
        <v>-40000</v>
      </c>
      <c r="BC22" s="56">
        <v>8</v>
      </c>
      <c r="BD22" s="56">
        <v>2026</v>
      </c>
      <c r="BE22" s="51"/>
      <c r="BF22" s="20">
        <v>1000000</v>
      </c>
    </row>
    <row r="23" spans="1:58" ht="29.1" customHeight="1">
      <c r="A23" s="42">
        <v>16</v>
      </c>
      <c r="B23" s="42" t="s">
        <v>89</v>
      </c>
      <c r="C23" s="56"/>
      <c r="D23" s="56" t="s">
        <v>88</v>
      </c>
      <c r="E23" s="56" t="s">
        <v>95</v>
      </c>
      <c r="F23" s="56" t="s">
        <v>105</v>
      </c>
      <c r="G23" s="57" t="s">
        <v>98</v>
      </c>
      <c r="H23" s="44" t="str">
        <f t="shared" si="6"/>
        <v>LEP03146254</v>
      </c>
      <c r="I23" s="45" t="s">
        <v>18</v>
      </c>
      <c r="J23" s="45" t="s">
        <v>18</v>
      </c>
      <c r="K23" s="45" t="s">
        <v>18</v>
      </c>
      <c r="L23" s="45" t="s">
        <v>18</v>
      </c>
      <c r="M23" s="45" t="s">
        <v>18</v>
      </c>
      <c r="N23" s="45"/>
      <c r="O23" s="45" t="s">
        <v>18</v>
      </c>
      <c r="P23" s="45" t="s">
        <v>18</v>
      </c>
      <c r="Q23" s="45" t="s">
        <v>18</v>
      </c>
      <c r="R23" s="45" t="s">
        <v>18</v>
      </c>
      <c r="S23" s="45" t="s">
        <v>18</v>
      </c>
      <c r="T23" s="45" t="s">
        <v>18</v>
      </c>
      <c r="U23" s="45"/>
      <c r="V23" s="45" t="s">
        <v>18</v>
      </c>
      <c r="W23" s="45" t="s">
        <v>18</v>
      </c>
      <c r="X23" s="45" t="s">
        <v>18</v>
      </c>
      <c r="Y23" s="45" t="s">
        <v>18</v>
      </c>
      <c r="Z23" s="45" t="s">
        <v>18</v>
      </c>
      <c r="AA23" s="45" t="s">
        <v>18</v>
      </c>
      <c r="AB23" s="45"/>
      <c r="AC23" s="45" t="s">
        <v>18</v>
      </c>
      <c r="AD23" s="45" t="s">
        <v>376</v>
      </c>
      <c r="AE23" s="45" t="s">
        <v>18</v>
      </c>
      <c r="AF23" s="45" t="s">
        <v>18</v>
      </c>
      <c r="AG23" s="45" t="s">
        <v>18</v>
      </c>
      <c r="AH23" s="45" t="s">
        <v>18</v>
      </c>
      <c r="AI23" s="45"/>
      <c r="AJ23" s="45" t="s">
        <v>18</v>
      </c>
      <c r="AK23" s="45" t="s">
        <v>18</v>
      </c>
      <c r="AL23" s="45" t="s">
        <v>18</v>
      </c>
      <c r="AM23" s="45" t="s">
        <v>18</v>
      </c>
      <c r="AN23" s="46">
        <v>27</v>
      </c>
      <c r="AO23" s="47">
        <f t="shared" si="0"/>
        <v>26</v>
      </c>
      <c r="AP23" s="47">
        <f t="shared" si="1"/>
        <v>1</v>
      </c>
      <c r="AQ23" s="47">
        <f t="shared" si="2"/>
        <v>0</v>
      </c>
      <c r="AR23" s="47">
        <f t="shared" si="3"/>
        <v>0</v>
      </c>
      <c r="AS23" s="47">
        <f t="shared" si="4"/>
        <v>0</v>
      </c>
      <c r="AT23" s="47">
        <f t="shared" si="5"/>
        <v>0</v>
      </c>
      <c r="AU23" s="47"/>
      <c r="AV23" s="48"/>
      <c r="AW23" s="50">
        <f t="shared" si="7"/>
        <v>1000000</v>
      </c>
      <c r="AX23" s="52">
        <f>500000*(1-IF(COUNTIF(J23:AM23,"UL")&gt;=2,IF(COUNTIF(J23:AM23,"UL")&gt;=3,1,0.5),0))</f>
        <v>500000</v>
      </c>
      <c r="AY23" s="52"/>
      <c r="AZ23" s="52"/>
      <c r="BA23" s="52"/>
      <c r="BB23" s="52">
        <v>-40000</v>
      </c>
      <c r="BC23" s="56">
        <v>8</v>
      </c>
      <c r="BD23" s="56">
        <v>2026</v>
      </c>
      <c r="BE23" s="51"/>
      <c r="BF23" s="20">
        <v>1000000</v>
      </c>
    </row>
    <row r="24" spans="1:58" ht="29.1" customHeight="1">
      <c r="A24" s="42">
        <v>17</v>
      </c>
      <c r="B24" s="42" t="s">
        <v>90</v>
      </c>
      <c r="C24" s="56"/>
      <c r="D24" s="56" t="s">
        <v>106</v>
      </c>
      <c r="E24" s="56" t="s">
        <v>95</v>
      </c>
      <c r="F24" s="56" t="s">
        <v>97</v>
      </c>
      <c r="G24" s="102">
        <v>45878</v>
      </c>
      <c r="H24" s="44" t="str">
        <f t="shared" si="6"/>
        <v>LEP03646254</v>
      </c>
      <c r="I24" s="45" t="s">
        <v>18</v>
      </c>
      <c r="J24" s="45" t="s">
        <v>18</v>
      </c>
      <c r="K24" s="45" t="s">
        <v>18</v>
      </c>
      <c r="L24" s="45" t="s">
        <v>18</v>
      </c>
      <c r="M24" s="45" t="s">
        <v>18</v>
      </c>
      <c r="N24" s="45"/>
      <c r="O24" s="45" t="s">
        <v>376</v>
      </c>
      <c r="P24" s="45" t="s">
        <v>18</v>
      </c>
      <c r="Q24" s="45" t="s">
        <v>18</v>
      </c>
      <c r="R24" s="45" t="s">
        <v>18</v>
      </c>
      <c r="S24" s="45" t="s">
        <v>18</v>
      </c>
      <c r="T24" s="45" t="s">
        <v>18</v>
      </c>
      <c r="U24" s="45"/>
      <c r="V24" s="45" t="s">
        <v>18</v>
      </c>
      <c r="W24" s="45" t="s">
        <v>18</v>
      </c>
      <c r="X24" s="45" t="s">
        <v>18</v>
      </c>
      <c r="Y24" s="45" t="s">
        <v>18</v>
      </c>
      <c r="Z24" s="45" t="s">
        <v>18</v>
      </c>
      <c r="AA24" s="45" t="s">
        <v>18</v>
      </c>
      <c r="AB24" s="45"/>
      <c r="AC24" s="45" t="s">
        <v>18</v>
      </c>
      <c r="AD24" s="45" t="s">
        <v>18</v>
      </c>
      <c r="AE24" s="45" t="s">
        <v>18</v>
      </c>
      <c r="AF24" s="45" t="s">
        <v>18</v>
      </c>
      <c r="AG24" s="45" t="s">
        <v>18</v>
      </c>
      <c r="AH24" s="45" t="s">
        <v>18</v>
      </c>
      <c r="AI24" s="45"/>
      <c r="AJ24" s="45" t="s">
        <v>376</v>
      </c>
      <c r="AK24" s="45" t="s">
        <v>18</v>
      </c>
      <c r="AL24" s="45" t="s">
        <v>18</v>
      </c>
      <c r="AM24" s="45" t="s">
        <v>18</v>
      </c>
      <c r="AN24" s="46">
        <v>27</v>
      </c>
      <c r="AO24" s="47">
        <f t="shared" si="0"/>
        <v>25</v>
      </c>
      <c r="AP24" s="47">
        <f t="shared" si="1"/>
        <v>2</v>
      </c>
      <c r="AQ24" s="47">
        <f t="shared" si="2"/>
        <v>0</v>
      </c>
      <c r="AR24" s="47">
        <f t="shared" si="3"/>
        <v>0</v>
      </c>
      <c r="AS24" s="47">
        <f t="shared" si="4"/>
        <v>0</v>
      </c>
      <c r="AT24" s="47">
        <f t="shared" si="5"/>
        <v>0</v>
      </c>
      <c r="AU24" s="47"/>
      <c r="AV24" s="48"/>
      <c r="AW24" s="50">
        <f t="shared" si="7"/>
        <v>1000000</v>
      </c>
      <c r="AX24" s="52">
        <f>500000*(1-IF(COUNTIF(J24:AM24,"UL")&gt;=2,IF(COUNTIF(J24:AM24,"UL")&gt;=3,1,0.5),0))</f>
        <v>500000</v>
      </c>
      <c r="AY24" s="52"/>
      <c r="AZ24" s="52"/>
      <c r="BA24" s="52"/>
      <c r="BB24" s="52">
        <v>-40000</v>
      </c>
      <c r="BC24" s="56">
        <v>8</v>
      </c>
      <c r="BD24" s="56">
        <v>2026</v>
      </c>
      <c r="BE24" s="51"/>
      <c r="BF24" s="20">
        <v>1000000</v>
      </c>
    </row>
    <row r="25" spans="1:58" ht="29.1" customHeight="1">
      <c r="A25" s="42">
        <v>18</v>
      </c>
      <c r="B25" s="42" t="s">
        <v>91</v>
      </c>
      <c r="C25" s="56"/>
      <c r="D25" s="56" t="s">
        <v>110</v>
      </c>
      <c r="E25" s="56" t="s">
        <v>73</v>
      </c>
      <c r="F25" s="56" t="s">
        <v>112</v>
      </c>
      <c r="G25" s="57" t="s">
        <v>113</v>
      </c>
      <c r="H25" s="44" t="str">
        <f t="shared" si="6"/>
        <v>LEP04046254</v>
      </c>
      <c r="I25" s="45" t="s">
        <v>18</v>
      </c>
      <c r="J25" s="45" t="s">
        <v>18</v>
      </c>
      <c r="K25" s="45" t="s">
        <v>18</v>
      </c>
      <c r="L25" s="45" t="s">
        <v>18</v>
      </c>
      <c r="M25" s="45"/>
      <c r="N25" s="45"/>
      <c r="O25" s="45" t="s">
        <v>18</v>
      </c>
      <c r="P25" s="45" t="s">
        <v>18</v>
      </c>
      <c r="Q25" s="45" t="s">
        <v>18</v>
      </c>
      <c r="R25" s="45" t="s">
        <v>18</v>
      </c>
      <c r="S25" s="45" t="s">
        <v>376</v>
      </c>
      <c r="T25" s="45"/>
      <c r="U25" s="45"/>
      <c r="V25" s="45" t="s">
        <v>18</v>
      </c>
      <c r="W25" s="45" t="s">
        <v>18</v>
      </c>
      <c r="X25" s="45" t="s">
        <v>18</v>
      </c>
      <c r="Y25" s="45" t="s">
        <v>18</v>
      </c>
      <c r="Z25" s="45" t="s">
        <v>18</v>
      </c>
      <c r="AA25" s="45"/>
      <c r="AB25" s="45"/>
      <c r="AC25" s="45" t="s">
        <v>18</v>
      </c>
      <c r="AD25" s="45" t="s">
        <v>18</v>
      </c>
      <c r="AE25" s="45" t="s">
        <v>18</v>
      </c>
      <c r="AF25" s="45" t="s">
        <v>18</v>
      </c>
      <c r="AG25" s="45" t="s">
        <v>18</v>
      </c>
      <c r="AH25" s="45"/>
      <c r="AI25" s="45"/>
      <c r="AJ25" s="45" t="s">
        <v>18</v>
      </c>
      <c r="AK25" s="45" t="s">
        <v>18</v>
      </c>
      <c r="AL25" s="45" t="s">
        <v>18</v>
      </c>
      <c r="AM25" s="45" t="s">
        <v>18</v>
      </c>
      <c r="AN25" s="46">
        <v>23</v>
      </c>
      <c r="AO25" s="47">
        <f t="shared" si="0"/>
        <v>22</v>
      </c>
      <c r="AP25" s="47">
        <f t="shared" si="1"/>
        <v>1</v>
      </c>
      <c r="AQ25" s="47">
        <f t="shared" si="2"/>
        <v>0</v>
      </c>
      <c r="AR25" s="47">
        <f t="shared" si="3"/>
        <v>0</v>
      </c>
      <c r="AS25" s="47">
        <f t="shared" si="4"/>
        <v>0</v>
      </c>
      <c r="AT25" s="47">
        <f t="shared" si="5"/>
        <v>0</v>
      </c>
      <c r="AU25" s="47"/>
      <c r="AV25" s="48"/>
      <c r="AW25" s="50">
        <f t="shared" si="7"/>
        <v>0</v>
      </c>
      <c r="AX25" s="52"/>
      <c r="AY25" s="52"/>
      <c r="AZ25" s="52"/>
      <c r="BA25" s="50"/>
      <c r="BB25" s="50">
        <v>-40000</v>
      </c>
      <c r="BC25" s="43">
        <v>8</v>
      </c>
      <c r="BD25" s="43">
        <v>2026</v>
      </c>
      <c r="BE25" s="51"/>
      <c r="BF25" s="20">
        <v>0</v>
      </c>
    </row>
    <row r="26" spans="1:58" ht="29.1" customHeight="1">
      <c r="A26" s="42">
        <v>19</v>
      </c>
      <c r="B26" s="42" t="s">
        <v>108</v>
      </c>
      <c r="C26" s="54"/>
      <c r="D26" s="56" t="s">
        <v>159</v>
      </c>
      <c r="E26" s="56" t="s">
        <v>74</v>
      </c>
      <c r="F26" s="56" t="s">
        <v>48</v>
      </c>
      <c r="G26" s="57" t="s">
        <v>115</v>
      </c>
      <c r="H26" s="44" t="str">
        <f t="shared" si="6"/>
        <v>LEP04546254</v>
      </c>
      <c r="I26" s="45" t="s">
        <v>18</v>
      </c>
      <c r="J26" s="45" t="s">
        <v>18</v>
      </c>
      <c r="K26" s="45" t="s">
        <v>459</v>
      </c>
      <c r="L26" s="45" t="s">
        <v>18</v>
      </c>
      <c r="M26" s="45" t="s">
        <v>18</v>
      </c>
      <c r="N26" s="45"/>
      <c r="O26" s="45" t="s">
        <v>18</v>
      </c>
      <c r="P26" s="45" t="s">
        <v>18</v>
      </c>
      <c r="Q26" s="45" t="s">
        <v>18</v>
      </c>
      <c r="R26" s="45" t="s">
        <v>18</v>
      </c>
      <c r="S26" s="45" t="s">
        <v>18</v>
      </c>
      <c r="T26" s="45" t="s">
        <v>18</v>
      </c>
      <c r="U26" s="45"/>
      <c r="V26" s="45" t="s">
        <v>18</v>
      </c>
      <c r="W26" s="45" t="s">
        <v>18</v>
      </c>
      <c r="X26" s="45" t="s">
        <v>376</v>
      </c>
      <c r="Y26" s="45" t="s">
        <v>18</v>
      </c>
      <c r="Z26" s="45" t="s">
        <v>18</v>
      </c>
      <c r="AA26" s="45" t="s">
        <v>18</v>
      </c>
      <c r="AB26" s="45"/>
      <c r="AC26" s="45" t="s">
        <v>18</v>
      </c>
      <c r="AD26" s="45" t="s">
        <v>18</v>
      </c>
      <c r="AE26" s="45" t="s">
        <v>18</v>
      </c>
      <c r="AF26" s="45" t="s">
        <v>18</v>
      </c>
      <c r="AG26" s="45" t="s">
        <v>18</v>
      </c>
      <c r="AH26" s="45" t="s">
        <v>18</v>
      </c>
      <c r="AI26" s="45"/>
      <c r="AJ26" s="45" t="s">
        <v>459</v>
      </c>
      <c r="AK26" s="45" t="s">
        <v>18</v>
      </c>
      <c r="AL26" s="45" t="s">
        <v>18</v>
      </c>
      <c r="AM26" s="45" t="s">
        <v>18</v>
      </c>
      <c r="AN26" s="46">
        <v>27</v>
      </c>
      <c r="AO26" s="47">
        <f t="shared" si="0"/>
        <v>24</v>
      </c>
      <c r="AP26" s="47">
        <f t="shared" si="1"/>
        <v>1</v>
      </c>
      <c r="AQ26" s="47">
        <f t="shared" si="2"/>
        <v>2</v>
      </c>
      <c r="AR26" s="47">
        <f t="shared" si="3"/>
        <v>0</v>
      </c>
      <c r="AS26" s="47">
        <f t="shared" si="4"/>
        <v>0</v>
      </c>
      <c r="AT26" s="47">
        <f t="shared" si="5"/>
        <v>0</v>
      </c>
      <c r="AU26" s="47"/>
      <c r="AV26" s="48"/>
      <c r="AW26" s="50">
        <f t="shared" si="7"/>
        <v>985425</v>
      </c>
      <c r="AX26" s="50">
        <f>500000*(1-IF(COUNTIF(J26:AM26,"UL")&gt;=2,IF(COUNTIF(J26:AM26,"UL")&gt;=3,1,0.5),0))</f>
        <v>250000</v>
      </c>
      <c r="AY26" s="52"/>
      <c r="AZ26" s="52"/>
      <c r="BA26" s="52"/>
      <c r="BB26" s="50">
        <v>-40000</v>
      </c>
      <c r="BC26" s="56">
        <v>8</v>
      </c>
      <c r="BD26" s="56">
        <v>2026</v>
      </c>
      <c r="BE26" s="51"/>
      <c r="BF26" s="20">
        <v>1064259</v>
      </c>
    </row>
    <row r="27" spans="1:58" ht="29.1" customHeight="1">
      <c r="A27" s="42">
        <v>20</v>
      </c>
      <c r="B27" s="42" t="s">
        <v>147</v>
      </c>
      <c r="C27" s="43"/>
      <c r="D27" s="43" t="s">
        <v>125</v>
      </c>
      <c r="E27" s="43" t="s">
        <v>146</v>
      </c>
      <c r="F27" s="43" t="s">
        <v>30</v>
      </c>
      <c r="G27" s="44" t="s">
        <v>139</v>
      </c>
      <c r="H27" s="44" t="str">
        <f t="shared" si="6"/>
        <v>LEP04846254</v>
      </c>
      <c r="I27" s="45" t="s">
        <v>508</v>
      </c>
      <c r="J27" s="45" t="s">
        <v>376</v>
      </c>
      <c r="K27" s="45" t="s">
        <v>18</v>
      </c>
      <c r="L27" s="45" t="s">
        <v>18</v>
      </c>
      <c r="M27" s="45" t="s">
        <v>18</v>
      </c>
      <c r="N27" s="45"/>
      <c r="O27" s="45" t="s">
        <v>18</v>
      </c>
      <c r="P27" s="45" t="s">
        <v>18</v>
      </c>
      <c r="Q27" s="45" t="s">
        <v>18</v>
      </c>
      <c r="R27" s="45" t="s">
        <v>18</v>
      </c>
      <c r="S27" s="45" t="s">
        <v>18</v>
      </c>
      <c r="T27" s="45" t="s">
        <v>18</v>
      </c>
      <c r="U27" s="96"/>
      <c r="V27" s="45" t="s">
        <v>18</v>
      </c>
      <c r="W27" s="45" t="s">
        <v>18</v>
      </c>
      <c r="X27" s="45" t="s">
        <v>18</v>
      </c>
      <c r="Y27" s="45" t="s">
        <v>18</v>
      </c>
      <c r="Z27" s="45" t="s">
        <v>18</v>
      </c>
      <c r="AA27" s="45" t="s">
        <v>18</v>
      </c>
      <c r="AB27" s="45"/>
      <c r="AC27" s="45" t="s">
        <v>18</v>
      </c>
      <c r="AD27" s="45" t="s">
        <v>18</v>
      </c>
      <c r="AE27" s="45" t="s">
        <v>18</v>
      </c>
      <c r="AF27" s="45" t="s">
        <v>18</v>
      </c>
      <c r="AG27" s="45" t="s">
        <v>18</v>
      </c>
      <c r="AH27" s="45" t="s">
        <v>18</v>
      </c>
      <c r="AI27" s="45"/>
      <c r="AJ27" s="45" t="s">
        <v>18</v>
      </c>
      <c r="AK27" s="45" t="s">
        <v>18</v>
      </c>
      <c r="AL27" s="45" t="s">
        <v>18</v>
      </c>
      <c r="AM27" s="45" t="s">
        <v>18</v>
      </c>
      <c r="AN27" s="46">
        <v>27</v>
      </c>
      <c r="AO27" s="47">
        <f t="shared" si="0"/>
        <v>25.5</v>
      </c>
      <c r="AP27" s="47">
        <f t="shared" si="1"/>
        <v>1.5</v>
      </c>
      <c r="AQ27" s="47">
        <f t="shared" si="2"/>
        <v>0</v>
      </c>
      <c r="AR27" s="47">
        <f t="shared" si="3"/>
        <v>0</v>
      </c>
      <c r="AS27" s="47">
        <f t="shared" si="4"/>
        <v>0</v>
      </c>
      <c r="AT27" s="47">
        <f t="shared" si="5"/>
        <v>0</v>
      </c>
      <c r="AU27" s="47"/>
      <c r="AV27" s="48"/>
      <c r="AW27" s="50">
        <f t="shared" si="7"/>
        <v>1000000</v>
      </c>
      <c r="AX27" s="50">
        <v>500000</v>
      </c>
      <c r="AY27" s="50"/>
      <c r="AZ27" s="50">
        <v>992000</v>
      </c>
      <c r="BA27" s="50"/>
      <c r="BB27" s="50">
        <v>-40000</v>
      </c>
      <c r="BC27" s="43">
        <v>8</v>
      </c>
      <c r="BD27" s="43">
        <v>2026</v>
      </c>
      <c r="BE27" s="51"/>
      <c r="BF27" s="20">
        <v>1000000</v>
      </c>
    </row>
    <row r="28" spans="1:58" ht="29.1" customHeight="1">
      <c r="A28" s="42">
        <v>21</v>
      </c>
      <c r="B28" s="42" t="s">
        <v>148</v>
      </c>
      <c r="C28" s="43"/>
      <c r="D28" s="43" t="s">
        <v>126</v>
      </c>
      <c r="E28" s="43" t="s">
        <v>146</v>
      </c>
      <c r="F28" s="43" t="s">
        <v>31</v>
      </c>
      <c r="G28" s="44" t="s">
        <v>139</v>
      </c>
      <c r="H28" s="44" t="str">
        <f t="shared" si="6"/>
        <v>LEP04946254</v>
      </c>
      <c r="I28" s="45" t="s">
        <v>18</v>
      </c>
      <c r="J28" s="45" t="s">
        <v>18</v>
      </c>
      <c r="K28" s="45" t="s">
        <v>18</v>
      </c>
      <c r="L28" s="45" t="s">
        <v>18</v>
      </c>
      <c r="M28" s="45" t="s">
        <v>18</v>
      </c>
      <c r="N28" s="45"/>
      <c r="O28" s="45" t="s">
        <v>18</v>
      </c>
      <c r="P28" s="45" t="s">
        <v>18</v>
      </c>
      <c r="Q28" s="45" t="s">
        <v>18</v>
      </c>
      <c r="R28" s="45" t="s">
        <v>18</v>
      </c>
      <c r="S28" s="45" t="s">
        <v>18</v>
      </c>
      <c r="T28" s="45" t="s">
        <v>18</v>
      </c>
      <c r="U28" s="45"/>
      <c r="V28" s="45" t="s">
        <v>18</v>
      </c>
      <c r="W28" s="45" t="s">
        <v>18</v>
      </c>
      <c r="X28" s="45" t="s">
        <v>18</v>
      </c>
      <c r="Y28" s="45" t="s">
        <v>18</v>
      </c>
      <c r="Z28" s="45" t="s">
        <v>18</v>
      </c>
      <c r="AA28" s="45" t="s">
        <v>18</v>
      </c>
      <c r="AB28" s="45"/>
      <c r="AC28" s="45" t="s">
        <v>18</v>
      </c>
      <c r="AD28" s="45" t="s">
        <v>18</v>
      </c>
      <c r="AE28" s="45" t="s">
        <v>18</v>
      </c>
      <c r="AF28" s="45" t="s">
        <v>18</v>
      </c>
      <c r="AG28" s="45" t="s">
        <v>18</v>
      </c>
      <c r="AH28" s="45" t="s">
        <v>18</v>
      </c>
      <c r="AI28" s="45"/>
      <c r="AJ28" s="45" t="s">
        <v>18</v>
      </c>
      <c r="AK28" s="45" t="s">
        <v>18</v>
      </c>
      <c r="AL28" s="45" t="s">
        <v>18</v>
      </c>
      <c r="AM28" s="45" t="s">
        <v>18</v>
      </c>
      <c r="AN28" s="46">
        <v>27</v>
      </c>
      <c r="AO28" s="47">
        <f t="shared" si="0"/>
        <v>27</v>
      </c>
      <c r="AP28" s="47">
        <f t="shared" si="1"/>
        <v>0</v>
      </c>
      <c r="AQ28" s="47">
        <f t="shared" si="2"/>
        <v>0</v>
      </c>
      <c r="AR28" s="47">
        <f t="shared" si="3"/>
        <v>0</v>
      </c>
      <c r="AS28" s="47">
        <f t="shared" si="4"/>
        <v>0</v>
      </c>
      <c r="AT28" s="47">
        <f t="shared" si="5"/>
        <v>0</v>
      </c>
      <c r="AU28" s="47"/>
      <c r="AV28" s="48"/>
      <c r="AW28" s="50">
        <f t="shared" si="7"/>
        <v>1000000</v>
      </c>
      <c r="AX28" s="50">
        <v>500000</v>
      </c>
      <c r="AY28" s="50"/>
      <c r="AZ28" s="50"/>
      <c r="BA28" s="50"/>
      <c r="BB28" s="50">
        <v>-40000</v>
      </c>
      <c r="BC28" s="43">
        <v>8</v>
      </c>
      <c r="BD28" s="43">
        <v>2026</v>
      </c>
      <c r="BE28" s="51"/>
      <c r="BF28" s="20">
        <v>1000000</v>
      </c>
    </row>
    <row r="29" spans="1:58" ht="29.1" customHeight="1">
      <c r="A29" s="42">
        <v>22</v>
      </c>
      <c r="B29" s="42" t="s">
        <v>150</v>
      </c>
      <c r="C29" s="43"/>
      <c r="D29" s="43" t="s">
        <v>128</v>
      </c>
      <c r="E29" s="43" t="s">
        <v>74</v>
      </c>
      <c r="F29" s="43" t="s">
        <v>48</v>
      </c>
      <c r="G29" s="44" t="s">
        <v>141</v>
      </c>
      <c r="H29" s="44" t="str">
        <f t="shared" si="6"/>
        <v>LEP05246254</v>
      </c>
      <c r="I29" s="45" t="s">
        <v>18</v>
      </c>
      <c r="J29" s="45" t="s">
        <v>18</v>
      </c>
      <c r="K29" s="45" t="s">
        <v>18</v>
      </c>
      <c r="L29" s="45" t="s">
        <v>18</v>
      </c>
      <c r="M29" s="45" t="s">
        <v>18</v>
      </c>
      <c r="N29" s="45"/>
      <c r="O29" s="45" t="s">
        <v>18</v>
      </c>
      <c r="P29" s="45" t="s">
        <v>18</v>
      </c>
      <c r="Q29" s="45" t="s">
        <v>18</v>
      </c>
      <c r="R29" s="45" t="s">
        <v>18</v>
      </c>
      <c r="S29" s="45" t="s">
        <v>18</v>
      </c>
      <c r="T29" s="45" t="s">
        <v>18</v>
      </c>
      <c r="U29" s="45"/>
      <c r="V29" s="45" t="s">
        <v>18</v>
      </c>
      <c r="W29" s="45" t="s">
        <v>18</v>
      </c>
      <c r="X29" s="45" t="s">
        <v>18</v>
      </c>
      <c r="Y29" s="45" t="s">
        <v>18</v>
      </c>
      <c r="Z29" s="45" t="s">
        <v>18</v>
      </c>
      <c r="AA29" s="45" t="s">
        <v>18</v>
      </c>
      <c r="AB29" s="45"/>
      <c r="AC29" s="45" t="s">
        <v>18</v>
      </c>
      <c r="AD29" s="45" t="s">
        <v>18</v>
      </c>
      <c r="AE29" s="45" t="s">
        <v>18</v>
      </c>
      <c r="AF29" s="45" t="s">
        <v>18</v>
      </c>
      <c r="AG29" s="45" t="s">
        <v>18</v>
      </c>
      <c r="AH29" s="45" t="s">
        <v>18</v>
      </c>
      <c r="AI29" s="45"/>
      <c r="AJ29" s="45" t="s">
        <v>18</v>
      </c>
      <c r="AK29" s="45" t="s">
        <v>18</v>
      </c>
      <c r="AL29" s="45" t="s">
        <v>18</v>
      </c>
      <c r="AM29" s="45" t="s">
        <v>18</v>
      </c>
      <c r="AN29" s="46">
        <v>27</v>
      </c>
      <c r="AO29" s="47">
        <f t="shared" si="0"/>
        <v>27</v>
      </c>
      <c r="AP29" s="47">
        <f t="shared" si="1"/>
        <v>0</v>
      </c>
      <c r="AQ29" s="47">
        <f t="shared" si="2"/>
        <v>0</v>
      </c>
      <c r="AR29" s="47">
        <f t="shared" si="3"/>
        <v>0</v>
      </c>
      <c r="AS29" s="47">
        <f t="shared" si="4"/>
        <v>0</v>
      </c>
      <c r="AT29" s="47">
        <f t="shared" si="5"/>
        <v>0</v>
      </c>
      <c r="AU29" s="47"/>
      <c r="AV29" s="48"/>
      <c r="AW29" s="50">
        <f t="shared" si="7"/>
        <v>1064259</v>
      </c>
      <c r="AX29" s="50">
        <f>500000*(1-IF(COUNTIF(J29:AM29,"UL")&gt;=2,IF(COUNTIF(J29:AM29,"UL")&gt;=3,1,0.5),0))</f>
        <v>500000</v>
      </c>
      <c r="AY29" s="50"/>
      <c r="AZ29" s="50"/>
      <c r="BA29" s="50"/>
      <c r="BB29" s="50">
        <v>-40000</v>
      </c>
      <c r="BC29" s="43">
        <v>8</v>
      </c>
      <c r="BD29" s="43">
        <v>2026</v>
      </c>
      <c r="BE29" s="51"/>
      <c r="BF29" s="20">
        <v>1064259</v>
      </c>
    </row>
    <row r="30" spans="1:58" ht="29.1" customHeight="1">
      <c r="A30" s="42">
        <v>23</v>
      </c>
      <c r="B30" s="42" t="s">
        <v>151</v>
      </c>
      <c r="C30" s="43"/>
      <c r="D30" s="43" t="s">
        <v>129</v>
      </c>
      <c r="E30" s="43" t="s">
        <v>146</v>
      </c>
      <c r="F30" s="43" t="s">
        <v>138</v>
      </c>
      <c r="G30" s="44" t="s">
        <v>142</v>
      </c>
      <c r="H30" s="44" t="str">
        <f t="shared" si="6"/>
        <v>LEP05446254</v>
      </c>
      <c r="I30" s="45" t="s">
        <v>18</v>
      </c>
      <c r="J30" s="45" t="s">
        <v>18</v>
      </c>
      <c r="K30" s="45" t="s">
        <v>18</v>
      </c>
      <c r="L30" s="45" t="s">
        <v>18</v>
      </c>
      <c r="M30" s="45" t="s">
        <v>18</v>
      </c>
      <c r="N30" s="45"/>
      <c r="O30" s="45" t="s">
        <v>18</v>
      </c>
      <c r="P30" s="45" t="s">
        <v>18</v>
      </c>
      <c r="Q30" s="45" t="s">
        <v>18</v>
      </c>
      <c r="R30" s="45" t="s">
        <v>18</v>
      </c>
      <c r="S30" s="45" t="s">
        <v>18</v>
      </c>
      <c r="T30" s="45" t="s">
        <v>18</v>
      </c>
      <c r="U30" s="45"/>
      <c r="V30" s="45" t="s">
        <v>18</v>
      </c>
      <c r="W30" s="45" t="s">
        <v>18</v>
      </c>
      <c r="X30" s="45" t="s">
        <v>18</v>
      </c>
      <c r="Y30" s="45" t="s">
        <v>18</v>
      </c>
      <c r="Z30" s="45" t="s">
        <v>18</v>
      </c>
      <c r="AA30" s="45" t="s">
        <v>18</v>
      </c>
      <c r="AB30" s="45"/>
      <c r="AC30" s="45" t="s">
        <v>18</v>
      </c>
      <c r="AD30" s="45" t="s">
        <v>376</v>
      </c>
      <c r="AE30" s="45" t="s">
        <v>18</v>
      </c>
      <c r="AF30" s="45" t="s">
        <v>18</v>
      </c>
      <c r="AG30" s="45" t="s">
        <v>18</v>
      </c>
      <c r="AH30" s="45" t="s">
        <v>18</v>
      </c>
      <c r="AI30" s="45"/>
      <c r="AJ30" s="45" t="s">
        <v>18</v>
      </c>
      <c r="AK30" s="45" t="s">
        <v>18</v>
      </c>
      <c r="AL30" s="45" t="s">
        <v>18</v>
      </c>
      <c r="AM30" s="45" t="s">
        <v>18</v>
      </c>
      <c r="AN30" s="46">
        <v>27</v>
      </c>
      <c r="AO30" s="47">
        <f t="shared" si="0"/>
        <v>26</v>
      </c>
      <c r="AP30" s="47">
        <f t="shared" si="1"/>
        <v>1</v>
      </c>
      <c r="AQ30" s="47">
        <f t="shared" si="2"/>
        <v>0</v>
      </c>
      <c r="AR30" s="47">
        <f t="shared" si="3"/>
        <v>0</v>
      </c>
      <c r="AS30" s="47">
        <f t="shared" si="4"/>
        <v>0</v>
      </c>
      <c r="AT30" s="47">
        <f t="shared" si="5"/>
        <v>0</v>
      </c>
      <c r="AU30" s="47"/>
      <c r="AV30" s="48"/>
      <c r="AW30" s="50">
        <f t="shared" si="7"/>
        <v>1000000</v>
      </c>
      <c r="AX30" s="50">
        <v>500000</v>
      </c>
      <c r="AY30" s="50">
        <f>13000*AO30</f>
        <v>338000</v>
      </c>
      <c r="AZ30" s="50">
        <v>992000</v>
      </c>
      <c r="BA30" s="50"/>
      <c r="BB30" s="50">
        <v>-40000</v>
      </c>
      <c r="BC30" s="43">
        <v>8</v>
      </c>
      <c r="BD30" s="43">
        <v>2026</v>
      </c>
      <c r="BE30" s="51"/>
      <c r="BF30" s="20">
        <v>1000000</v>
      </c>
    </row>
    <row r="31" spans="1:58" ht="29.1" customHeight="1">
      <c r="A31" s="42">
        <v>24</v>
      </c>
      <c r="B31" s="42" t="s">
        <v>152</v>
      </c>
      <c r="C31" s="43"/>
      <c r="D31" s="43" t="s">
        <v>130</v>
      </c>
      <c r="E31" s="43" t="s">
        <v>74</v>
      </c>
      <c r="F31" s="43" t="s">
        <v>49</v>
      </c>
      <c r="G31" s="44" t="s">
        <v>143</v>
      </c>
      <c r="H31" s="44" t="str">
        <f t="shared" si="6"/>
        <v>LEP05646254</v>
      </c>
      <c r="I31" s="45" t="s">
        <v>18</v>
      </c>
      <c r="J31" s="45" t="s">
        <v>18</v>
      </c>
      <c r="K31" s="45" t="s">
        <v>18</v>
      </c>
      <c r="L31" s="45" t="s">
        <v>18</v>
      </c>
      <c r="M31" s="45" t="s">
        <v>18</v>
      </c>
      <c r="N31" s="45"/>
      <c r="O31" s="45" t="s">
        <v>18</v>
      </c>
      <c r="P31" s="45" t="s">
        <v>18</v>
      </c>
      <c r="Q31" s="45" t="s">
        <v>18</v>
      </c>
      <c r="R31" s="45" t="s">
        <v>18</v>
      </c>
      <c r="S31" s="45" t="s">
        <v>18</v>
      </c>
      <c r="T31" s="45" t="s">
        <v>18</v>
      </c>
      <c r="U31" s="45"/>
      <c r="V31" s="45" t="s">
        <v>18</v>
      </c>
      <c r="W31" s="45" t="s">
        <v>18</v>
      </c>
      <c r="X31" s="45" t="s">
        <v>18</v>
      </c>
      <c r="Y31" s="45" t="s">
        <v>18</v>
      </c>
      <c r="Z31" s="45" t="s">
        <v>18</v>
      </c>
      <c r="AA31" s="45" t="s">
        <v>18</v>
      </c>
      <c r="AB31" s="45"/>
      <c r="AC31" s="45" t="s">
        <v>18</v>
      </c>
      <c r="AD31" s="45" t="s">
        <v>18</v>
      </c>
      <c r="AE31" s="45" t="s">
        <v>18</v>
      </c>
      <c r="AF31" s="45" t="s">
        <v>459</v>
      </c>
      <c r="AG31" s="45" t="s">
        <v>459</v>
      </c>
      <c r="AH31" s="45" t="s">
        <v>18</v>
      </c>
      <c r="AI31" s="45"/>
      <c r="AJ31" s="45" t="s">
        <v>18</v>
      </c>
      <c r="AK31" s="45" t="s">
        <v>18</v>
      </c>
      <c r="AL31" s="45" t="s">
        <v>18</v>
      </c>
      <c r="AM31" s="45" t="s">
        <v>18</v>
      </c>
      <c r="AN31" s="46">
        <v>27</v>
      </c>
      <c r="AO31" s="47">
        <f t="shared" si="0"/>
        <v>25</v>
      </c>
      <c r="AP31" s="47">
        <f t="shared" si="1"/>
        <v>0</v>
      </c>
      <c r="AQ31" s="47">
        <f t="shared" si="2"/>
        <v>2</v>
      </c>
      <c r="AR31" s="47">
        <f t="shared" si="3"/>
        <v>0</v>
      </c>
      <c r="AS31" s="47">
        <f t="shared" si="4"/>
        <v>0</v>
      </c>
      <c r="AT31" s="47">
        <f t="shared" si="5"/>
        <v>0</v>
      </c>
      <c r="AU31" s="47"/>
      <c r="AV31" s="48"/>
      <c r="AW31" s="50">
        <f t="shared" si="7"/>
        <v>925925.92592592596</v>
      </c>
      <c r="AX31" s="50">
        <f t="shared" ref="AX31:AX68" si="8">500000*(1-IF(COUNTIF(J31:AM31,"UL")&gt;=2,IF(COUNTIF(J31:AM31,"UL")&gt;=3,1,0.5),0))</f>
        <v>250000</v>
      </c>
      <c r="AY31" s="50">
        <f>13000*AO31</f>
        <v>325000</v>
      </c>
      <c r="AZ31" s="50"/>
      <c r="BA31" s="50"/>
      <c r="BB31" s="50">
        <v>-40000</v>
      </c>
      <c r="BC31" s="43">
        <v>8</v>
      </c>
      <c r="BD31" s="43">
        <v>2026</v>
      </c>
      <c r="BE31" s="51"/>
      <c r="BF31" s="20">
        <v>1000000</v>
      </c>
    </row>
    <row r="32" spans="1:58" ht="29.1" customHeight="1">
      <c r="A32" s="42">
        <v>25</v>
      </c>
      <c r="B32" s="42" t="s">
        <v>153</v>
      </c>
      <c r="C32" s="43"/>
      <c r="D32" s="43" t="s">
        <v>131</v>
      </c>
      <c r="E32" s="43" t="s">
        <v>74</v>
      </c>
      <c r="F32" s="43" t="s">
        <v>49</v>
      </c>
      <c r="G32" s="44" t="s">
        <v>143</v>
      </c>
      <c r="H32" s="44" t="str">
        <f t="shared" si="6"/>
        <v>LEP05746254</v>
      </c>
      <c r="I32" s="45" t="s">
        <v>18</v>
      </c>
      <c r="J32" s="45" t="s">
        <v>18</v>
      </c>
      <c r="K32" s="45" t="s">
        <v>18</v>
      </c>
      <c r="L32" s="45" t="s">
        <v>18</v>
      </c>
      <c r="M32" s="45" t="s">
        <v>18</v>
      </c>
      <c r="N32" s="45"/>
      <c r="O32" s="45" t="s">
        <v>376</v>
      </c>
      <c r="P32" s="45" t="s">
        <v>376</v>
      </c>
      <c r="Q32" s="45" t="s">
        <v>376</v>
      </c>
      <c r="R32" s="45" t="s">
        <v>18</v>
      </c>
      <c r="S32" s="45" t="s">
        <v>18</v>
      </c>
      <c r="T32" s="45" t="s">
        <v>18</v>
      </c>
      <c r="U32" s="45"/>
      <c r="V32" s="45" t="s">
        <v>18</v>
      </c>
      <c r="W32" s="45" t="s">
        <v>18</v>
      </c>
      <c r="X32" s="45" t="s">
        <v>18</v>
      </c>
      <c r="Y32" s="45" t="s">
        <v>18</v>
      </c>
      <c r="Z32" s="45" t="s">
        <v>18</v>
      </c>
      <c r="AA32" s="45" t="s">
        <v>18</v>
      </c>
      <c r="AB32" s="45"/>
      <c r="AC32" s="45" t="s">
        <v>18</v>
      </c>
      <c r="AD32" s="45" t="s">
        <v>459</v>
      </c>
      <c r="AE32" s="45" t="s">
        <v>18</v>
      </c>
      <c r="AF32" s="45" t="s">
        <v>18</v>
      </c>
      <c r="AG32" s="45" t="s">
        <v>18</v>
      </c>
      <c r="AH32" s="45" t="s">
        <v>18</v>
      </c>
      <c r="AI32" s="45"/>
      <c r="AJ32" s="45" t="s">
        <v>18</v>
      </c>
      <c r="AK32" s="45" t="s">
        <v>18</v>
      </c>
      <c r="AL32" s="45" t="s">
        <v>18</v>
      </c>
      <c r="AM32" s="45" t="s">
        <v>18</v>
      </c>
      <c r="AN32" s="46">
        <v>27</v>
      </c>
      <c r="AO32" s="47">
        <f t="shared" si="0"/>
        <v>23</v>
      </c>
      <c r="AP32" s="47">
        <f t="shared" si="1"/>
        <v>3</v>
      </c>
      <c r="AQ32" s="47">
        <f t="shared" si="2"/>
        <v>1</v>
      </c>
      <c r="AR32" s="47">
        <f t="shared" si="3"/>
        <v>0</v>
      </c>
      <c r="AS32" s="47">
        <f t="shared" si="4"/>
        <v>0</v>
      </c>
      <c r="AT32" s="47">
        <f t="shared" si="5"/>
        <v>0</v>
      </c>
      <c r="AU32" s="47"/>
      <c r="AV32" s="48"/>
      <c r="AW32" s="50">
        <f t="shared" si="7"/>
        <v>962962.96296296292</v>
      </c>
      <c r="AX32" s="50">
        <f t="shared" si="8"/>
        <v>500000</v>
      </c>
      <c r="AY32" s="50">
        <f>13000*AO32</f>
        <v>299000</v>
      </c>
      <c r="AZ32" s="50"/>
      <c r="BA32" s="50"/>
      <c r="BB32" s="50">
        <v>-40000</v>
      </c>
      <c r="BC32" s="43">
        <v>8</v>
      </c>
      <c r="BD32" s="43">
        <v>2026</v>
      </c>
      <c r="BE32" s="51"/>
      <c r="BF32" s="20">
        <v>1000000</v>
      </c>
    </row>
    <row r="33" spans="1:58" ht="29.1" customHeight="1">
      <c r="A33" s="42">
        <v>26</v>
      </c>
      <c r="B33" s="42" t="s">
        <v>155</v>
      </c>
      <c r="C33" s="43"/>
      <c r="D33" s="43" t="s">
        <v>133</v>
      </c>
      <c r="E33" s="43" t="s">
        <v>74</v>
      </c>
      <c r="F33" s="43" t="s">
        <v>48</v>
      </c>
      <c r="G33" s="44" t="s">
        <v>144</v>
      </c>
      <c r="H33" s="44" t="str">
        <f t="shared" si="6"/>
        <v>LEP06246254</v>
      </c>
      <c r="I33" s="45" t="s">
        <v>18</v>
      </c>
      <c r="J33" s="45" t="s">
        <v>18</v>
      </c>
      <c r="K33" s="45" t="s">
        <v>509</v>
      </c>
      <c r="L33" s="45" t="s">
        <v>459</v>
      </c>
      <c r="M33" s="45" t="s">
        <v>459</v>
      </c>
      <c r="N33" s="45"/>
      <c r="O33" s="45" t="s">
        <v>18</v>
      </c>
      <c r="P33" s="45" t="s">
        <v>18</v>
      </c>
      <c r="Q33" s="45" t="s">
        <v>18</v>
      </c>
      <c r="R33" s="45" t="s">
        <v>18</v>
      </c>
      <c r="S33" s="45" t="s">
        <v>18</v>
      </c>
      <c r="T33" s="45" t="s">
        <v>18</v>
      </c>
      <c r="U33" s="45"/>
      <c r="V33" s="45" t="s">
        <v>18</v>
      </c>
      <c r="W33" s="45" t="s">
        <v>18</v>
      </c>
      <c r="X33" s="45" t="s">
        <v>18</v>
      </c>
      <c r="Y33" s="45" t="s">
        <v>18</v>
      </c>
      <c r="Z33" s="45" t="s">
        <v>18</v>
      </c>
      <c r="AA33" s="45" t="s">
        <v>18</v>
      </c>
      <c r="AB33" s="45"/>
      <c r="AC33" s="45" t="s">
        <v>18</v>
      </c>
      <c r="AD33" s="45" t="s">
        <v>18</v>
      </c>
      <c r="AE33" s="45" t="s">
        <v>18</v>
      </c>
      <c r="AF33" s="45" t="s">
        <v>18</v>
      </c>
      <c r="AG33" s="45" t="s">
        <v>18</v>
      </c>
      <c r="AH33" s="45" t="s">
        <v>18</v>
      </c>
      <c r="AI33" s="45"/>
      <c r="AJ33" s="45" t="s">
        <v>18</v>
      </c>
      <c r="AK33" s="45" t="s">
        <v>18</v>
      </c>
      <c r="AL33" s="45" t="s">
        <v>18</v>
      </c>
      <c r="AM33" s="45" t="s">
        <v>18</v>
      </c>
      <c r="AN33" s="46">
        <v>27</v>
      </c>
      <c r="AO33" s="47">
        <f t="shared" si="0"/>
        <v>24.5</v>
      </c>
      <c r="AP33" s="47">
        <f t="shared" si="1"/>
        <v>0</v>
      </c>
      <c r="AQ33" s="47">
        <f t="shared" si="2"/>
        <v>2.5</v>
      </c>
      <c r="AR33" s="47">
        <f t="shared" si="3"/>
        <v>0</v>
      </c>
      <c r="AS33" s="47">
        <f t="shared" si="4"/>
        <v>0</v>
      </c>
      <c r="AT33" s="47">
        <f t="shared" si="5"/>
        <v>0</v>
      </c>
      <c r="AU33" s="47"/>
      <c r="AV33" s="48"/>
      <c r="AW33" s="50">
        <f t="shared" si="7"/>
        <v>965716.5</v>
      </c>
      <c r="AX33" s="50">
        <f t="shared" si="8"/>
        <v>250000</v>
      </c>
      <c r="AY33" s="50"/>
      <c r="AZ33" s="50"/>
      <c r="BA33" s="50"/>
      <c r="BB33" s="50">
        <v>-40000</v>
      </c>
      <c r="BC33" s="43">
        <v>8</v>
      </c>
      <c r="BD33" s="43">
        <v>2026</v>
      </c>
      <c r="BE33" s="51"/>
      <c r="BF33" s="20">
        <v>1064259</v>
      </c>
    </row>
    <row r="34" spans="1:58" ht="29.1" customHeight="1">
      <c r="A34" s="42">
        <v>27</v>
      </c>
      <c r="B34" s="42" t="s">
        <v>450</v>
      </c>
      <c r="C34" s="56"/>
      <c r="D34" s="66" t="s">
        <v>441</v>
      </c>
      <c r="E34" s="68" t="s">
        <v>74</v>
      </c>
      <c r="F34" s="66" t="s">
        <v>48</v>
      </c>
      <c r="G34" s="69" t="s">
        <v>446</v>
      </c>
      <c r="H34" s="44" t="str">
        <f t="shared" si="6"/>
        <v>LEP066A46254</v>
      </c>
      <c r="I34" s="45" t="s">
        <v>18</v>
      </c>
      <c r="J34" s="45" t="s">
        <v>18</v>
      </c>
      <c r="K34" s="45" t="s">
        <v>18</v>
      </c>
      <c r="L34" s="45" t="s">
        <v>18</v>
      </c>
      <c r="M34" s="45" t="s">
        <v>18</v>
      </c>
      <c r="N34" s="45"/>
      <c r="O34" s="45" t="s">
        <v>18</v>
      </c>
      <c r="P34" s="45" t="s">
        <v>18</v>
      </c>
      <c r="Q34" s="45" t="s">
        <v>18</v>
      </c>
      <c r="R34" s="45" t="s">
        <v>18</v>
      </c>
      <c r="S34" s="45" t="s">
        <v>18</v>
      </c>
      <c r="T34" s="45" t="s">
        <v>18</v>
      </c>
      <c r="U34" s="45"/>
      <c r="V34" s="45" t="s">
        <v>18</v>
      </c>
      <c r="W34" s="45" t="s">
        <v>18</v>
      </c>
      <c r="X34" s="45" t="s">
        <v>18</v>
      </c>
      <c r="Y34" s="45" t="s">
        <v>18</v>
      </c>
      <c r="Z34" s="45" t="s">
        <v>18</v>
      </c>
      <c r="AA34" s="45" t="s">
        <v>18</v>
      </c>
      <c r="AB34" s="45"/>
      <c r="AC34" s="45" t="s">
        <v>18</v>
      </c>
      <c r="AD34" s="45" t="s">
        <v>459</v>
      </c>
      <c r="AE34" s="45" t="s">
        <v>18</v>
      </c>
      <c r="AF34" s="45" t="s">
        <v>18</v>
      </c>
      <c r="AG34" s="45" t="s">
        <v>18</v>
      </c>
      <c r="AH34" s="45" t="s">
        <v>18</v>
      </c>
      <c r="AI34" s="45"/>
      <c r="AJ34" s="45" t="s">
        <v>459</v>
      </c>
      <c r="AK34" s="45" t="s">
        <v>18</v>
      </c>
      <c r="AL34" s="45" t="s">
        <v>18</v>
      </c>
      <c r="AM34" s="45" t="s">
        <v>18</v>
      </c>
      <c r="AN34" s="46">
        <v>27</v>
      </c>
      <c r="AO34" s="47">
        <f t="shared" si="0"/>
        <v>25</v>
      </c>
      <c r="AP34" s="47">
        <f t="shared" si="1"/>
        <v>0</v>
      </c>
      <c r="AQ34" s="47">
        <f t="shared" si="2"/>
        <v>2</v>
      </c>
      <c r="AR34" s="47">
        <f t="shared" si="3"/>
        <v>0</v>
      </c>
      <c r="AS34" s="47">
        <f t="shared" si="4"/>
        <v>0</v>
      </c>
      <c r="AT34" s="47">
        <f t="shared" si="5"/>
        <v>0</v>
      </c>
      <c r="AU34" s="47"/>
      <c r="AV34" s="48"/>
      <c r="AW34" s="50">
        <f t="shared" si="7"/>
        <v>985425</v>
      </c>
      <c r="AX34" s="50">
        <f t="shared" si="8"/>
        <v>250000</v>
      </c>
      <c r="AY34" s="52"/>
      <c r="AZ34" s="52"/>
      <c r="BA34" s="49"/>
      <c r="BB34" s="52">
        <v>-40000</v>
      </c>
      <c r="BC34" s="56">
        <v>8</v>
      </c>
      <c r="BD34" s="56">
        <v>2026</v>
      </c>
      <c r="BE34" s="56" t="s">
        <v>435</v>
      </c>
      <c r="BF34" s="20">
        <v>1064259</v>
      </c>
    </row>
    <row r="35" spans="1:58" ht="29.1" customHeight="1">
      <c r="A35" s="42">
        <v>28</v>
      </c>
      <c r="B35" s="42" t="s">
        <v>156</v>
      </c>
      <c r="C35" s="43"/>
      <c r="D35" s="43" t="s">
        <v>134</v>
      </c>
      <c r="E35" s="43" t="s">
        <v>74</v>
      </c>
      <c r="F35" s="43" t="s">
        <v>49</v>
      </c>
      <c r="G35" s="44" t="s">
        <v>145</v>
      </c>
      <c r="H35" s="44" t="str">
        <f t="shared" si="6"/>
        <v>LEP06746254</v>
      </c>
      <c r="I35" s="45" t="s">
        <v>18</v>
      </c>
      <c r="J35" s="45" t="s">
        <v>18</v>
      </c>
      <c r="K35" s="45" t="s">
        <v>18</v>
      </c>
      <c r="L35" s="45" t="s">
        <v>18</v>
      </c>
      <c r="M35" s="45" t="s">
        <v>18</v>
      </c>
      <c r="N35" s="45"/>
      <c r="O35" s="45" t="s">
        <v>18</v>
      </c>
      <c r="P35" s="45" t="s">
        <v>18</v>
      </c>
      <c r="Q35" s="45" t="s">
        <v>18</v>
      </c>
      <c r="R35" s="45" t="s">
        <v>18</v>
      </c>
      <c r="S35" s="45" t="s">
        <v>18</v>
      </c>
      <c r="T35" s="45" t="s">
        <v>18</v>
      </c>
      <c r="U35" s="45"/>
      <c r="V35" s="45" t="s">
        <v>18</v>
      </c>
      <c r="W35" s="87">
        <v>0</v>
      </c>
      <c r="X35" s="87">
        <v>0</v>
      </c>
      <c r="Y35" s="87">
        <v>0</v>
      </c>
      <c r="Z35" s="87">
        <v>0</v>
      </c>
      <c r="AA35" s="87">
        <v>0</v>
      </c>
      <c r="AB35" s="87"/>
      <c r="AC35" s="87">
        <v>0</v>
      </c>
      <c r="AD35" s="87">
        <v>0</v>
      </c>
      <c r="AE35" s="87">
        <v>0</v>
      </c>
      <c r="AF35" s="87"/>
      <c r="AG35" s="87">
        <v>0</v>
      </c>
      <c r="AH35" s="87"/>
      <c r="AI35" s="87"/>
      <c r="AJ35" s="87">
        <v>0</v>
      </c>
      <c r="AK35" s="87">
        <v>0</v>
      </c>
      <c r="AL35" s="87">
        <v>0</v>
      </c>
      <c r="AM35" s="87">
        <v>0</v>
      </c>
      <c r="AN35" s="46">
        <v>27</v>
      </c>
      <c r="AO35" s="47">
        <f t="shared" si="0"/>
        <v>12</v>
      </c>
      <c r="AP35" s="47">
        <f t="shared" si="1"/>
        <v>0</v>
      </c>
      <c r="AQ35" s="47">
        <f t="shared" si="2"/>
        <v>0</v>
      </c>
      <c r="AR35" s="47">
        <f t="shared" si="3"/>
        <v>0</v>
      </c>
      <c r="AS35" s="47">
        <f t="shared" si="4"/>
        <v>0</v>
      </c>
      <c r="AT35" s="47">
        <f t="shared" si="5"/>
        <v>0</v>
      </c>
      <c r="AU35" s="47"/>
      <c r="AV35" s="48"/>
      <c r="AW35" s="50">
        <f t="shared" si="7"/>
        <v>0</v>
      </c>
      <c r="AX35" s="50">
        <f t="shared" si="8"/>
        <v>500000</v>
      </c>
      <c r="AY35" s="50"/>
      <c r="AZ35" s="50"/>
      <c r="BA35" s="50"/>
      <c r="BB35" s="50">
        <v>-40000</v>
      </c>
      <c r="BC35" s="43">
        <v>8</v>
      </c>
      <c r="BD35" s="43">
        <v>2026</v>
      </c>
      <c r="BE35" s="51"/>
      <c r="BF35" s="20">
        <v>0</v>
      </c>
    </row>
    <row r="36" spans="1:58" ht="29.1" customHeight="1">
      <c r="A36" s="42">
        <v>29</v>
      </c>
      <c r="B36" s="42" t="s">
        <v>157</v>
      </c>
      <c r="C36" s="43"/>
      <c r="D36" s="43" t="s">
        <v>135</v>
      </c>
      <c r="E36" s="43" t="s">
        <v>74</v>
      </c>
      <c r="F36" s="43" t="s">
        <v>48</v>
      </c>
      <c r="G36" s="44" t="s">
        <v>145</v>
      </c>
      <c r="H36" s="44" t="str">
        <f t="shared" si="6"/>
        <v>LEP06846254</v>
      </c>
      <c r="I36" s="45" t="s">
        <v>18</v>
      </c>
      <c r="J36" s="45" t="s">
        <v>18</v>
      </c>
      <c r="K36" s="45" t="s">
        <v>18</v>
      </c>
      <c r="L36" s="45" t="s">
        <v>18</v>
      </c>
      <c r="M36" s="45" t="s">
        <v>18</v>
      </c>
      <c r="N36" s="45"/>
      <c r="O36" s="45" t="s">
        <v>18</v>
      </c>
      <c r="P36" s="45" t="s">
        <v>18</v>
      </c>
      <c r="Q36" s="45" t="s">
        <v>18</v>
      </c>
      <c r="R36" s="45" t="s">
        <v>18</v>
      </c>
      <c r="S36" s="45" t="s">
        <v>18</v>
      </c>
      <c r="T36" s="45" t="s">
        <v>18</v>
      </c>
      <c r="U36" s="45"/>
      <c r="V36" s="45" t="s">
        <v>18</v>
      </c>
      <c r="W36" s="45" t="s">
        <v>18</v>
      </c>
      <c r="X36" s="45" t="s">
        <v>18</v>
      </c>
      <c r="Y36" s="45" t="s">
        <v>18</v>
      </c>
      <c r="Z36" s="45" t="s">
        <v>18</v>
      </c>
      <c r="AA36" s="45" t="s">
        <v>18</v>
      </c>
      <c r="AB36" s="45"/>
      <c r="AC36" s="45" t="s">
        <v>18</v>
      </c>
      <c r="AD36" s="45" t="s">
        <v>18</v>
      </c>
      <c r="AE36" s="45" t="s">
        <v>18</v>
      </c>
      <c r="AF36" s="45" t="s">
        <v>18</v>
      </c>
      <c r="AG36" s="45" t="s">
        <v>18</v>
      </c>
      <c r="AH36" s="45" t="s">
        <v>18</v>
      </c>
      <c r="AI36" s="45"/>
      <c r="AJ36" s="45" t="s">
        <v>18</v>
      </c>
      <c r="AK36" s="45" t="s">
        <v>18</v>
      </c>
      <c r="AL36" s="45" t="s">
        <v>18</v>
      </c>
      <c r="AM36" s="45" t="s">
        <v>18</v>
      </c>
      <c r="AN36" s="46">
        <v>27</v>
      </c>
      <c r="AO36" s="47">
        <f t="shared" si="0"/>
        <v>27</v>
      </c>
      <c r="AP36" s="47">
        <f t="shared" si="1"/>
        <v>0</v>
      </c>
      <c r="AQ36" s="47">
        <f t="shared" si="2"/>
        <v>0</v>
      </c>
      <c r="AR36" s="47">
        <f t="shared" si="3"/>
        <v>0</v>
      </c>
      <c r="AS36" s="47">
        <f t="shared" si="4"/>
        <v>0</v>
      </c>
      <c r="AT36" s="47">
        <f t="shared" si="5"/>
        <v>0</v>
      </c>
      <c r="AU36" s="47"/>
      <c r="AV36" s="48"/>
      <c r="AW36" s="50">
        <f t="shared" si="7"/>
        <v>1064259</v>
      </c>
      <c r="AX36" s="50">
        <f t="shared" si="8"/>
        <v>500000</v>
      </c>
      <c r="AY36" s="50"/>
      <c r="AZ36" s="50"/>
      <c r="BA36" s="50"/>
      <c r="BB36" s="50">
        <v>-40000</v>
      </c>
      <c r="BC36" s="43">
        <v>8</v>
      </c>
      <c r="BD36" s="43">
        <v>2026</v>
      </c>
      <c r="BE36" s="51"/>
      <c r="BF36" s="20">
        <v>1064259</v>
      </c>
    </row>
    <row r="37" spans="1:58" ht="29.1" customHeight="1">
      <c r="A37" s="42">
        <v>30</v>
      </c>
      <c r="B37" s="42" t="s">
        <v>158</v>
      </c>
      <c r="C37" s="43"/>
      <c r="D37" s="43" t="s">
        <v>136</v>
      </c>
      <c r="E37" s="43" t="s">
        <v>74</v>
      </c>
      <c r="F37" s="43" t="s">
        <v>48</v>
      </c>
      <c r="G37" s="44" t="s">
        <v>145</v>
      </c>
      <c r="H37" s="44" t="str">
        <f t="shared" si="6"/>
        <v>LEP06946254</v>
      </c>
      <c r="I37" s="45" t="s">
        <v>18</v>
      </c>
      <c r="J37" s="45" t="s">
        <v>18</v>
      </c>
      <c r="K37" s="45" t="s">
        <v>18</v>
      </c>
      <c r="L37" s="45" t="s">
        <v>18</v>
      </c>
      <c r="M37" s="45" t="s">
        <v>18</v>
      </c>
      <c r="N37" s="45"/>
      <c r="O37" s="45" t="s">
        <v>507</v>
      </c>
      <c r="P37" s="45" t="s">
        <v>507</v>
      </c>
      <c r="Q37" s="45" t="s">
        <v>18</v>
      </c>
      <c r="R37" s="45" t="s">
        <v>18</v>
      </c>
      <c r="S37" s="45" t="s">
        <v>18</v>
      </c>
      <c r="T37" s="45" t="s">
        <v>18</v>
      </c>
      <c r="U37" s="45"/>
      <c r="V37" s="45" t="s">
        <v>18</v>
      </c>
      <c r="W37" s="87">
        <v>0</v>
      </c>
      <c r="X37" s="87">
        <v>0</v>
      </c>
      <c r="Y37" s="87">
        <v>0</v>
      </c>
      <c r="Z37" s="87">
        <v>0</v>
      </c>
      <c r="AA37" s="87">
        <v>0</v>
      </c>
      <c r="AB37" s="87"/>
      <c r="AC37" s="87">
        <v>0</v>
      </c>
      <c r="AD37" s="87">
        <v>0</v>
      </c>
      <c r="AE37" s="87">
        <v>0</v>
      </c>
      <c r="AF37" s="87"/>
      <c r="AG37" s="87">
        <v>0</v>
      </c>
      <c r="AH37" s="87"/>
      <c r="AI37" s="87"/>
      <c r="AJ37" s="87">
        <v>0</v>
      </c>
      <c r="AK37" s="87">
        <v>0</v>
      </c>
      <c r="AL37" s="87">
        <v>0</v>
      </c>
      <c r="AM37" s="87">
        <v>0</v>
      </c>
      <c r="AN37" s="46">
        <v>27</v>
      </c>
      <c r="AO37" s="47">
        <f t="shared" si="0"/>
        <v>10</v>
      </c>
      <c r="AP37" s="47">
        <f t="shared" si="1"/>
        <v>0</v>
      </c>
      <c r="AQ37" s="47">
        <f t="shared" si="2"/>
        <v>0</v>
      </c>
      <c r="AR37" s="47">
        <f t="shared" si="3"/>
        <v>0</v>
      </c>
      <c r="AS37" s="47">
        <f t="shared" si="4"/>
        <v>2</v>
      </c>
      <c r="AT37" s="47">
        <f t="shared" si="5"/>
        <v>0</v>
      </c>
      <c r="AU37" s="47"/>
      <c r="AV37" s="48"/>
      <c r="AW37" s="50">
        <f t="shared" si="7"/>
        <v>0</v>
      </c>
      <c r="AX37" s="50">
        <f t="shared" si="8"/>
        <v>500000</v>
      </c>
      <c r="AY37" s="50"/>
      <c r="AZ37" s="50"/>
      <c r="BA37" s="50"/>
      <c r="BB37" s="50">
        <v>-40000</v>
      </c>
      <c r="BC37" s="43">
        <v>8</v>
      </c>
      <c r="BD37" s="43">
        <v>2026</v>
      </c>
      <c r="BE37" s="51"/>
      <c r="BF37" s="20">
        <v>0</v>
      </c>
    </row>
    <row r="38" spans="1:58" ht="29.1" customHeight="1">
      <c r="A38" s="42">
        <v>31</v>
      </c>
      <c r="B38" s="42" t="s">
        <v>174</v>
      </c>
      <c r="C38" s="43"/>
      <c r="D38" s="43" t="s">
        <v>165</v>
      </c>
      <c r="E38" s="43" t="s">
        <v>74</v>
      </c>
      <c r="F38" s="43" t="s">
        <v>48</v>
      </c>
      <c r="G38" s="44" t="s">
        <v>170</v>
      </c>
      <c r="H38" s="44" t="str">
        <f t="shared" si="6"/>
        <v>LEP07346254</v>
      </c>
      <c r="I38" s="45" t="s">
        <v>18</v>
      </c>
      <c r="J38" s="45" t="s">
        <v>18</v>
      </c>
      <c r="K38" s="45" t="s">
        <v>18</v>
      </c>
      <c r="L38" s="45" t="s">
        <v>18</v>
      </c>
      <c r="M38" s="45" t="s">
        <v>18</v>
      </c>
      <c r="N38" s="45"/>
      <c r="O38" s="45" t="s">
        <v>18</v>
      </c>
      <c r="P38" s="45" t="s">
        <v>18</v>
      </c>
      <c r="Q38" s="45" t="s">
        <v>18</v>
      </c>
      <c r="R38" s="45" t="s">
        <v>18</v>
      </c>
      <c r="S38" s="45" t="s">
        <v>18</v>
      </c>
      <c r="T38" s="45" t="s">
        <v>18</v>
      </c>
      <c r="U38" s="45"/>
      <c r="V38" s="45" t="s">
        <v>18</v>
      </c>
      <c r="W38" s="45" t="s">
        <v>18</v>
      </c>
      <c r="X38" s="45" t="s">
        <v>18</v>
      </c>
      <c r="Y38" s="45" t="s">
        <v>18</v>
      </c>
      <c r="Z38" s="45" t="s">
        <v>18</v>
      </c>
      <c r="AA38" s="45" t="s">
        <v>18</v>
      </c>
      <c r="AB38" s="45"/>
      <c r="AC38" s="45" t="s">
        <v>18</v>
      </c>
      <c r="AD38" s="45" t="s">
        <v>18</v>
      </c>
      <c r="AE38" s="45" t="s">
        <v>18</v>
      </c>
      <c r="AF38" s="45" t="s">
        <v>18</v>
      </c>
      <c r="AG38" s="45" t="s">
        <v>18</v>
      </c>
      <c r="AH38" s="45" t="s">
        <v>18</v>
      </c>
      <c r="AI38" s="45"/>
      <c r="AJ38" s="45" t="s">
        <v>18</v>
      </c>
      <c r="AK38" s="45" t="s">
        <v>18</v>
      </c>
      <c r="AL38" s="45" t="s">
        <v>18</v>
      </c>
      <c r="AM38" s="45" t="s">
        <v>18</v>
      </c>
      <c r="AN38" s="46">
        <v>27</v>
      </c>
      <c r="AO38" s="47">
        <f t="shared" si="0"/>
        <v>27</v>
      </c>
      <c r="AP38" s="47">
        <f t="shared" si="1"/>
        <v>0</v>
      </c>
      <c r="AQ38" s="47">
        <f t="shared" si="2"/>
        <v>0</v>
      </c>
      <c r="AR38" s="47">
        <f t="shared" si="3"/>
        <v>0</v>
      </c>
      <c r="AS38" s="47">
        <f t="shared" si="4"/>
        <v>0</v>
      </c>
      <c r="AT38" s="47">
        <f t="shared" si="5"/>
        <v>0</v>
      </c>
      <c r="AU38" s="47"/>
      <c r="AV38" s="48"/>
      <c r="AW38" s="50">
        <f t="shared" si="7"/>
        <v>1064259</v>
      </c>
      <c r="AX38" s="50">
        <f t="shared" si="8"/>
        <v>500000</v>
      </c>
      <c r="AY38" s="50"/>
      <c r="AZ38" s="50"/>
      <c r="BA38" s="50"/>
      <c r="BB38" s="50">
        <v>-40000</v>
      </c>
      <c r="BC38" s="43">
        <v>8</v>
      </c>
      <c r="BD38" s="43">
        <v>2026</v>
      </c>
      <c r="BE38" s="51"/>
      <c r="BF38" s="20">
        <v>1064259</v>
      </c>
    </row>
    <row r="39" spans="1:58" ht="29.1" customHeight="1">
      <c r="A39" s="42">
        <v>32</v>
      </c>
      <c r="B39" s="42" t="s">
        <v>176</v>
      </c>
      <c r="C39" s="43"/>
      <c r="D39" s="43" t="s">
        <v>167</v>
      </c>
      <c r="E39" s="43" t="s">
        <v>74</v>
      </c>
      <c r="F39" s="43" t="s">
        <v>48</v>
      </c>
      <c r="G39" s="44" t="s">
        <v>171</v>
      </c>
      <c r="H39" s="44" t="str">
        <f t="shared" si="6"/>
        <v>LEP07546254</v>
      </c>
      <c r="I39" s="45" t="s">
        <v>18</v>
      </c>
      <c r="J39" s="45" t="s">
        <v>18</v>
      </c>
      <c r="K39" s="45" t="s">
        <v>18</v>
      </c>
      <c r="L39" s="45" t="s">
        <v>18</v>
      </c>
      <c r="M39" s="45" t="s">
        <v>18</v>
      </c>
      <c r="N39" s="45"/>
      <c r="O39" s="45" t="s">
        <v>18</v>
      </c>
      <c r="P39" s="45" t="s">
        <v>18</v>
      </c>
      <c r="Q39" s="45" t="s">
        <v>18</v>
      </c>
      <c r="R39" s="45" t="s">
        <v>18</v>
      </c>
      <c r="S39" s="45" t="s">
        <v>18</v>
      </c>
      <c r="T39" s="45" t="s">
        <v>18</v>
      </c>
      <c r="U39" s="45"/>
      <c r="V39" s="45" t="s">
        <v>18</v>
      </c>
      <c r="W39" s="45" t="s">
        <v>18</v>
      </c>
      <c r="X39" s="45" t="s">
        <v>18</v>
      </c>
      <c r="Y39" s="45" t="s">
        <v>18</v>
      </c>
      <c r="Z39" s="45" t="s">
        <v>376</v>
      </c>
      <c r="AA39" s="45" t="s">
        <v>18</v>
      </c>
      <c r="AB39" s="45"/>
      <c r="AC39" s="45" t="s">
        <v>18</v>
      </c>
      <c r="AD39" s="45" t="s">
        <v>18</v>
      </c>
      <c r="AE39" s="45" t="s">
        <v>18</v>
      </c>
      <c r="AF39" s="45" t="s">
        <v>18</v>
      </c>
      <c r="AG39" s="45" t="s">
        <v>18</v>
      </c>
      <c r="AH39" s="45" t="s">
        <v>18</v>
      </c>
      <c r="AI39" s="45"/>
      <c r="AJ39" s="45" t="s">
        <v>18</v>
      </c>
      <c r="AK39" s="45" t="s">
        <v>18</v>
      </c>
      <c r="AL39" s="45" t="s">
        <v>18</v>
      </c>
      <c r="AM39" s="45" t="s">
        <v>18</v>
      </c>
      <c r="AN39" s="46">
        <v>27</v>
      </c>
      <c r="AO39" s="47">
        <f t="shared" si="0"/>
        <v>26</v>
      </c>
      <c r="AP39" s="47">
        <f t="shared" si="1"/>
        <v>1</v>
      </c>
      <c r="AQ39" s="47">
        <f t="shared" si="2"/>
        <v>0</v>
      </c>
      <c r="AR39" s="47">
        <f t="shared" si="3"/>
        <v>0</v>
      </c>
      <c r="AS39" s="47">
        <f t="shared" si="4"/>
        <v>0</v>
      </c>
      <c r="AT39" s="47">
        <f t="shared" si="5"/>
        <v>0</v>
      </c>
      <c r="AU39" s="47"/>
      <c r="AV39" s="48"/>
      <c r="AW39" s="50">
        <f t="shared" si="7"/>
        <v>1043449</v>
      </c>
      <c r="AX39" s="50">
        <f t="shared" si="8"/>
        <v>500000</v>
      </c>
      <c r="AY39" s="50"/>
      <c r="AZ39" s="50"/>
      <c r="BA39" s="50"/>
      <c r="BB39" s="50">
        <v>-40000</v>
      </c>
      <c r="BC39" s="43">
        <v>8</v>
      </c>
      <c r="BD39" s="43">
        <v>2026</v>
      </c>
      <c r="BE39" s="51"/>
      <c r="BF39" s="20">
        <v>1043449</v>
      </c>
    </row>
    <row r="40" spans="1:58" ht="29.1" customHeight="1">
      <c r="A40" s="42">
        <v>33</v>
      </c>
      <c r="B40" s="42" t="s">
        <v>178</v>
      </c>
      <c r="C40" s="56"/>
      <c r="D40" s="56" t="s">
        <v>169</v>
      </c>
      <c r="E40" s="56" t="s">
        <v>74</v>
      </c>
      <c r="F40" s="56" t="s">
        <v>48</v>
      </c>
      <c r="G40" s="57" t="s">
        <v>173</v>
      </c>
      <c r="H40" s="44" t="str">
        <f t="shared" si="6"/>
        <v>LEP08046254</v>
      </c>
      <c r="I40" s="45" t="s">
        <v>18</v>
      </c>
      <c r="J40" s="45" t="s">
        <v>18</v>
      </c>
      <c r="K40" s="45" t="s">
        <v>18</v>
      </c>
      <c r="L40" s="45" t="s">
        <v>18</v>
      </c>
      <c r="M40" s="45" t="s">
        <v>18</v>
      </c>
      <c r="N40" s="45"/>
      <c r="O40" s="45" t="s">
        <v>376</v>
      </c>
      <c r="P40" s="45" t="s">
        <v>18</v>
      </c>
      <c r="Q40" s="45" t="s">
        <v>18</v>
      </c>
      <c r="R40" s="45" t="s">
        <v>18</v>
      </c>
      <c r="S40" s="45" t="s">
        <v>18</v>
      </c>
      <c r="T40" s="45" t="s">
        <v>18</v>
      </c>
      <c r="U40" s="45"/>
      <c r="V40" s="45" t="s">
        <v>18</v>
      </c>
      <c r="W40" s="45" t="s">
        <v>18</v>
      </c>
      <c r="X40" s="45" t="s">
        <v>18</v>
      </c>
      <c r="Y40" s="45" t="s">
        <v>459</v>
      </c>
      <c r="Z40" s="45" t="s">
        <v>18</v>
      </c>
      <c r="AA40" s="45" t="s">
        <v>18</v>
      </c>
      <c r="AB40" s="45"/>
      <c r="AC40" s="45" t="s">
        <v>18</v>
      </c>
      <c r="AD40" s="45" t="s">
        <v>18</v>
      </c>
      <c r="AE40" s="45" t="s">
        <v>18</v>
      </c>
      <c r="AF40" s="45" t="s">
        <v>18</v>
      </c>
      <c r="AG40" s="45" t="s">
        <v>18</v>
      </c>
      <c r="AH40" s="45" t="s">
        <v>18</v>
      </c>
      <c r="AI40" s="45"/>
      <c r="AJ40" s="45" t="s">
        <v>18</v>
      </c>
      <c r="AK40" s="45" t="s">
        <v>18</v>
      </c>
      <c r="AL40" s="45" t="s">
        <v>18</v>
      </c>
      <c r="AM40" s="45" t="s">
        <v>18</v>
      </c>
      <c r="AN40" s="46">
        <v>27</v>
      </c>
      <c r="AO40" s="47">
        <f t="shared" ref="AO40:AO71" si="9">COUNTIF(I40:AM40,"W")+COUNTIF(I40:AM40,"W/2 AL/2")*0.5+COUNTIF(I40:AM40,"BT")+COUNTIF(I40:AM40,"N")++COUNTIF(I40:AM40,"W/2 UL/2")*0.5</f>
        <v>25</v>
      </c>
      <c r="AP40" s="47">
        <f t="shared" ref="AP40:AP71" si="10">COUNTIF(I40:AM40,"AL")+COUNTIF(I40:AM40,"W/2 AL/2")*0.5+COUNTIF(I40:AM40,"AL/2 UL/2")*0.5</f>
        <v>1</v>
      </c>
      <c r="AQ40" s="47">
        <f t="shared" ref="AQ40:AQ71" si="11">COUNTIF(I40:AM40,"UL")+COUNTIF(I40:AM40,"W/2 UL/2")*0.5+COUNTIF(I40:AM40,"AL/2 UL/2")*0.5</f>
        <v>1</v>
      </c>
      <c r="AR40" s="47">
        <f t="shared" ref="AR40:AR71" si="12">COUNTIF(I40:AM40,"PH")</f>
        <v>0</v>
      </c>
      <c r="AS40" s="47">
        <f t="shared" ref="AS40:AS71" si="13">COUNTIF(I40:AM40,"SL")</f>
        <v>0</v>
      </c>
      <c r="AT40" s="47">
        <f t="shared" ref="AT40:AT71" si="14">COUNTIF(I40:AM40,"PL")</f>
        <v>0</v>
      </c>
      <c r="AU40" s="47"/>
      <c r="AV40" s="48"/>
      <c r="AW40" s="50">
        <f t="shared" si="7"/>
        <v>1004802.7407407408</v>
      </c>
      <c r="AX40" s="50">
        <f t="shared" si="8"/>
        <v>500000</v>
      </c>
      <c r="AY40" s="52"/>
      <c r="AZ40" s="52"/>
      <c r="BA40" s="50"/>
      <c r="BB40" s="52">
        <v>-40000</v>
      </c>
      <c r="BC40" s="43">
        <v>8</v>
      </c>
      <c r="BD40" s="43">
        <v>2026</v>
      </c>
      <c r="BE40" s="56"/>
      <c r="BF40" s="20">
        <v>1043449</v>
      </c>
    </row>
    <row r="41" spans="1:58" ht="29.1" customHeight="1">
      <c r="A41" s="42">
        <v>34</v>
      </c>
      <c r="B41" s="42" t="s">
        <v>184</v>
      </c>
      <c r="C41" s="43"/>
      <c r="D41" s="43" t="s">
        <v>181</v>
      </c>
      <c r="E41" s="43" t="s">
        <v>74</v>
      </c>
      <c r="F41" s="44" t="s">
        <v>48</v>
      </c>
      <c r="G41" s="44" t="s">
        <v>182</v>
      </c>
      <c r="H41" s="44" t="str">
        <f t="shared" si="6"/>
        <v>LEP09146254</v>
      </c>
      <c r="I41" s="45" t="s">
        <v>18</v>
      </c>
      <c r="J41" s="45" t="s">
        <v>18</v>
      </c>
      <c r="K41" s="45" t="s">
        <v>18</v>
      </c>
      <c r="L41" s="45" t="s">
        <v>18</v>
      </c>
      <c r="M41" s="45" t="s">
        <v>18</v>
      </c>
      <c r="N41" s="45"/>
      <c r="O41" s="45" t="s">
        <v>18</v>
      </c>
      <c r="P41" s="45" t="s">
        <v>18</v>
      </c>
      <c r="Q41" s="45" t="s">
        <v>18</v>
      </c>
      <c r="R41" s="45" t="s">
        <v>18</v>
      </c>
      <c r="S41" s="45" t="s">
        <v>18</v>
      </c>
      <c r="T41" s="45" t="s">
        <v>18</v>
      </c>
      <c r="U41" s="45"/>
      <c r="V41" s="45" t="s">
        <v>18</v>
      </c>
      <c r="W41" s="45" t="s">
        <v>18</v>
      </c>
      <c r="X41" s="45" t="s">
        <v>18</v>
      </c>
      <c r="Y41" s="45" t="s">
        <v>18</v>
      </c>
      <c r="Z41" s="45" t="s">
        <v>18</v>
      </c>
      <c r="AA41" s="45" t="s">
        <v>18</v>
      </c>
      <c r="AB41" s="45"/>
      <c r="AC41" s="45" t="s">
        <v>18</v>
      </c>
      <c r="AD41" s="45" t="s">
        <v>18</v>
      </c>
      <c r="AE41" s="45" t="s">
        <v>18</v>
      </c>
      <c r="AF41" s="45" t="s">
        <v>18</v>
      </c>
      <c r="AG41" s="45" t="s">
        <v>18</v>
      </c>
      <c r="AH41" s="45" t="s">
        <v>18</v>
      </c>
      <c r="AI41" s="45"/>
      <c r="AJ41" s="45" t="s">
        <v>18</v>
      </c>
      <c r="AK41" s="45" t="s">
        <v>18</v>
      </c>
      <c r="AL41" s="45" t="s">
        <v>18</v>
      </c>
      <c r="AM41" s="45" t="s">
        <v>18</v>
      </c>
      <c r="AN41" s="46">
        <v>27</v>
      </c>
      <c r="AO41" s="47">
        <f t="shared" si="9"/>
        <v>27</v>
      </c>
      <c r="AP41" s="47">
        <f t="shared" si="10"/>
        <v>0</v>
      </c>
      <c r="AQ41" s="47">
        <f t="shared" si="11"/>
        <v>0</v>
      </c>
      <c r="AR41" s="47">
        <f t="shared" si="12"/>
        <v>0</v>
      </c>
      <c r="AS41" s="47">
        <f t="shared" si="13"/>
        <v>0</v>
      </c>
      <c r="AT41" s="47">
        <f t="shared" si="14"/>
        <v>0</v>
      </c>
      <c r="AU41" s="47"/>
      <c r="AV41" s="48"/>
      <c r="AW41" s="50">
        <f t="shared" si="7"/>
        <v>1064259</v>
      </c>
      <c r="AX41" s="50">
        <f t="shared" si="8"/>
        <v>500000</v>
      </c>
      <c r="AY41" s="50"/>
      <c r="AZ41" s="50"/>
      <c r="BA41" s="50"/>
      <c r="BB41" s="50">
        <v>-40000</v>
      </c>
      <c r="BC41" s="43">
        <v>8</v>
      </c>
      <c r="BD41" s="43">
        <v>2026</v>
      </c>
      <c r="BE41" s="43"/>
      <c r="BF41" s="20">
        <v>1064259</v>
      </c>
    </row>
    <row r="42" spans="1:58" ht="29.1" customHeight="1">
      <c r="A42" s="42">
        <v>35</v>
      </c>
      <c r="B42" s="42" t="s">
        <v>432</v>
      </c>
      <c r="C42" s="56"/>
      <c r="D42" s="66" t="s">
        <v>413</v>
      </c>
      <c r="E42" s="68" t="s">
        <v>74</v>
      </c>
      <c r="F42" s="66" t="s">
        <v>197</v>
      </c>
      <c r="G42" s="69" t="s">
        <v>412</v>
      </c>
      <c r="H42" s="44" t="str">
        <f t="shared" si="6"/>
        <v>LEP100A46254</v>
      </c>
      <c r="I42" s="45" t="s">
        <v>18</v>
      </c>
      <c r="J42" s="45" t="s">
        <v>18</v>
      </c>
      <c r="K42" s="45" t="s">
        <v>18</v>
      </c>
      <c r="L42" s="45" t="s">
        <v>18</v>
      </c>
      <c r="M42" s="45" t="s">
        <v>18</v>
      </c>
      <c r="N42" s="45"/>
      <c r="O42" s="45" t="s">
        <v>18</v>
      </c>
      <c r="P42" s="45" t="s">
        <v>18</v>
      </c>
      <c r="Q42" s="45" t="s">
        <v>18</v>
      </c>
      <c r="R42" s="45" t="s">
        <v>18</v>
      </c>
      <c r="S42" s="45" t="s">
        <v>18</v>
      </c>
      <c r="T42" s="45" t="s">
        <v>18</v>
      </c>
      <c r="U42" s="45"/>
      <c r="V42" s="45" t="s">
        <v>18</v>
      </c>
      <c r="W42" s="45" t="s">
        <v>376</v>
      </c>
      <c r="X42" s="45" t="s">
        <v>459</v>
      </c>
      <c r="Y42" s="45" t="s">
        <v>18</v>
      </c>
      <c r="Z42" s="45" t="s">
        <v>18</v>
      </c>
      <c r="AA42" s="45" t="s">
        <v>18</v>
      </c>
      <c r="AB42" s="45"/>
      <c r="AC42" s="45" t="s">
        <v>18</v>
      </c>
      <c r="AD42" s="45" t="s">
        <v>18</v>
      </c>
      <c r="AE42" s="45" t="s">
        <v>376</v>
      </c>
      <c r="AF42" s="45" t="s">
        <v>18</v>
      </c>
      <c r="AG42" s="45" t="s">
        <v>18</v>
      </c>
      <c r="AH42" s="45" t="s">
        <v>18</v>
      </c>
      <c r="AI42" s="45"/>
      <c r="AJ42" s="45" t="s">
        <v>18</v>
      </c>
      <c r="AK42" s="45" t="s">
        <v>18</v>
      </c>
      <c r="AL42" s="45" t="s">
        <v>18</v>
      </c>
      <c r="AM42" s="45" t="s">
        <v>459</v>
      </c>
      <c r="AN42" s="46">
        <v>27</v>
      </c>
      <c r="AO42" s="47">
        <f t="shared" si="9"/>
        <v>23</v>
      </c>
      <c r="AP42" s="47">
        <f t="shared" si="10"/>
        <v>2</v>
      </c>
      <c r="AQ42" s="47">
        <f t="shared" si="11"/>
        <v>2</v>
      </c>
      <c r="AR42" s="47">
        <f t="shared" si="12"/>
        <v>0</v>
      </c>
      <c r="AS42" s="47">
        <f t="shared" si="13"/>
        <v>0</v>
      </c>
      <c r="AT42" s="47">
        <f t="shared" si="14"/>
        <v>0</v>
      </c>
      <c r="AU42" s="47"/>
      <c r="AV42" s="48"/>
      <c r="AW42" s="50">
        <f t="shared" si="7"/>
        <v>966156.48148148146</v>
      </c>
      <c r="AX42" s="50">
        <f t="shared" si="8"/>
        <v>250000</v>
      </c>
      <c r="AY42" s="52"/>
      <c r="AZ42" s="52"/>
      <c r="BA42" s="49"/>
      <c r="BB42" s="52">
        <v>-40000</v>
      </c>
      <c r="BC42" s="56">
        <v>8</v>
      </c>
      <c r="BD42" s="56">
        <v>2026</v>
      </c>
      <c r="BE42" s="56" t="s">
        <v>436</v>
      </c>
      <c r="BF42" s="20">
        <v>1043449</v>
      </c>
    </row>
    <row r="43" spans="1:58" ht="29.1" customHeight="1">
      <c r="A43" s="42">
        <v>36</v>
      </c>
      <c r="B43" s="42" t="s">
        <v>451</v>
      </c>
      <c r="C43" s="56"/>
      <c r="D43" s="66" t="s">
        <v>443</v>
      </c>
      <c r="E43" s="68" t="s">
        <v>74</v>
      </c>
      <c r="F43" s="66" t="s">
        <v>48</v>
      </c>
      <c r="G43" s="69" t="s">
        <v>448</v>
      </c>
      <c r="H43" s="44" t="str">
        <f t="shared" si="6"/>
        <v>LEP103A46254</v>
      </c>
      <c r="I43" s="45" t="s">
        <v>18</v>
      </c>
      <c r="J43" s="45" t="s">
        <v>18</v>
      </c>
      <c r="K43" s="45" t="s">
        <v>18</v>
      </c>
      <c r="L43" s="45" t="s">
        <v>18</v>
      </c>
      <c r="M43" s="45" t="s">
        <v>18</v>
      </c>
      <c r="N43" s="45"/>
      <c r="O43" s="45" t="s">
        <v>18</v>
      </c>
      <c r="P43" s="45" t="s">
        <v>18</v>
      </c>
      <c r="Q43" s="45" t="s">
        <v>18</v>
      </c>
      <c r="R43" s="45" t="s">
        <v>18</v>
      </c>
      <c r="S43" s="45" t="s">
        <v>18</v>
      </c>
      <c r="T43" s="45" t="s">
        <v>18</v>
      </c>
      <c r="U43" s="45"/>
      <c r="V43" s="45" t="s">
        <v>18</v>
      </c>
      <c r="W43" s="45" t="s">
        <v>459</v>
      </c>
      <c r="X43" s="45" t="s">
        <v>459</v>
      </c>
      <c r="Y43" s="45" t="s">
        <v>18</v>
      </c>
      <c r="Z43" s="45" t="s">
        <v>18</v>
      </c>
      <c r="AA43" s="45" t="s">
        <v>18</v>
      </c>
      <c r="AB43" s="45"/>
      <c r="AC43" s="45" t="s">
        <v>18</v>
      </c>
      <c r="AD43" s="45" t="s">
        <v>18</v>
      </c>
      <c r="AE43" s="45" t="s">
        <v>18</v>
      </c>
      <c r="AF43" s="45" t="s">
        <v>18</v>
      </c>
      <c r="AG43" s="45" t="s">
        <v>18</v>
      </c>
      <c r="AH43" s="45" t="s">
        <v>18</v>
      </c>
      <c r="AI43" s="45"/>
      <c r="AJ43" s="45" t="s">
        <v>18</v>
      </c>
      <c r="AK43" s="45" t="s">
        <v>18</v>
      </c>
      <c r="AL43" s="45" t="s">
        <v>18</v>
      </c>
      <c r="AM43" s="45" t="s">
        <v>18</v>
      </c>
      <c r="AN43" s="46">
        <v>27</v>
      </c>
      <c r="AO43" s="47">
        <f t="shared" si="9"/>
        <v>25</v>
      </c>
      <c r="AP43" s="47">
        <f t="shared" si="10"/>
        <v>0</v>
      </c>
      <c r="AQ43" s="47">
        <f t="shared" si="11"/>
        <v>2</v>
      </c>
      <c r="AR43" s="47">
        <f t="shared" si="12"/>
        <v>0</v>
      </c>
      <c r="AS43" s="47">
        <f t="shared" si="13"/>
        <v>0</v>
      </c>
      <c r="AT43" s="47">
        <f t="shared" si="14"/>
        <v>0</v>
      </c>
      <c r="AU43" s="47"/>
      <c r="AV43" s="48"/>
      <c r="AW43" s="50">
        <f t="shared" si="7"/>
        <v>985425</v>
      </c>
      <c r="AX43" s="50">
        <f t="shared" si="8"/>
        <v>250000</v>
      </c>
      <c r="AY43" s="52"/>
      <c r="AZ43" s="52"/>
      <c r="BA43" s="49"/>
      <c r="BB43" s="52">
        <v>-40000</v>
      </c>
      <c r="BC43" s="56">
        <v>8</v>
      </c>
      <c r="BD43" s="56">
        <v>2026</v>
      </c>
      <c r="BE43" s="56" t="s">
        <v>435</v>
      </c>
      <c r="BF43" s="20">
        <v>1064259</v>
      </c>
    </row>
    <row r="44" spans="1:58" ht="29.1" customHeight="1">
      <c r="A44" s="42">
        <v>37</v>
      </c>
      <c r="B44" s="42" t="s">
        <v>185</v>
      </c>
      <c r="C44" s="43"/>
      <c r="D44" s="43" t="s">
        <v>183</v>
      </c>
      <c r="E44" s="43" t="s">
        <v>74</v>
      </c>
      <c r="F44" s="44" t="s">
        <v>48</v>
      </c>
      <c r="G44" s="59" t="s">
        <v>187</v>
      </c>
      <c r="H44" s="44" t="str">
        <f t="shared" si="6"/>
        <v>LEP10446254</v>
      </c>
      <c r="I44" s="45" t="s">
        <v>18</v>
      </c>
      <c r="J44" s="45" t="s">
        <v>18</v>
      </c>
      <c r="K44" s="45" t="s">
        <v>18</v>
      </c>
      <c r="L44" s="45" t="s">
        <v>18</v>
      </c>
      <c r="M44" s="45" t="s">
        <v>459</v>
      </c>
      <c r="N44" s="45"/>
      <c r="O44" s="45" t="s">
        <v>18</v>
      </c>
      <c r="P44" s="45" t="s">
        <v>18</v>
      </c>
      <c r="Q44" s="45" t="s">
        <v>18</v>
      </c>
      <c r="R44" s="45" t="s">
        <v>376</v>
      </c>
      <c r="S44" s="45" t="s">
        <v>18</v>
      </c>
      <c r="T44" s="45" t="s">
        <v>18</v>
      </c>
      <c r="U44" s="45"/>
      <c r="V44" s="45" t="s">
        <v>18</v>
      </c>
      <c r="W44" s="45" t="s">
        <v>459</v>
      </c>
      <c r="X44" s="45" t="s">
        <v>18</v>
      </c>
      <c r="Y44" s="45" t="s">
        <v>18</v>
      </c>
      <c r="Z44" s="45" t="s">
        <v>18</v>
      </c>
      <c r="AA44" s="45" t="s">
        <v>18</v>
      </c>
      <c r="AB44" s="45"/>
      <c r="AC44" s="45" t="s">
        <v>18</v>
      </c>
      <c r="AD44" s="45" t="s">
        <v>18</v>
      </c>
      <c r="AE44" s="45" t="s">
        <v>18</v>
      </c>
      <c r="AF44" s="45" t="s">
        <v>18</v>
      </c>
      <c r="AG44" s="45" t="s">
        <v>18</v>
      </c>
      <c r="AH44" s="45" t="s">
        <v>18</v>
      </c>
      <c r="AI44" s="45"/>
      <c r="AJ44" s="45" t="s">
        <v>18</v>
      </c>
      <c r="AK44" s="45" t="s">
        <v>18</v>
      </c>
      <c r="AL44" s="45" t="s">
        <v>18</v>
      </c>
      <c r="AM44" s="45" t="s">
        <v>18</v>
      </c>
      <c r="AN44" s="46">
        <v>27</v>
      </c>
      <c r="AO44" s="47">
        <f t="shared" si="9"/>
        <v>24</v>
      </c>
      <c r="AP44" s="47">
        <f t="shared" si="10"/>
        <v>1</v>
      </c>
      <c r="AQ44" s="47">
        <f t="shared" si="11"/>
        <v>2</v>
      </c>
      <c r="AR44" s="47">
        <f t="shared" si="12"/>
        <v>0</v>
      </c>
      <c r="AS44" s="47">
        <f t="shared" si="13"/>
        <v>0</v>
      </c>
      <c r="AT44" s="47">
        <f t="shared" si="14"/>
        <v>0</v>
      </c>
      <c r="AU44" s="47"/>
      <c r="AV44" s="48"/>
      <c r="AW44" s="50">
        <f t="shared" si="7"/>
        <v>966156.48148148146</v>
      </c>
      <c r="AX44" s="50">
        <f t="shared" si="8"/>
        <v>250000</v>
      </c>
      <c r="AY44" s="50"/>
      <c r="AZ44" s="50"/>
      <c r="BA44" s="50"/>
      <c r="BB44" s="50">
        <v>-40000</v>
      </c>
      <c r="BC44" s="43">
        <v>8</v>
      </c>
      <c r="BD44" s="43">
        <v>2026</v>
      </c>
      <c r="BE44" s="43"/>
      <c r="BF44" s="20">
        <v>1043449</v>
      </c>
    </row>
    <row r="45" spans="1:58" ht="29.1" customHeight="1">
      <c r="A45" s="42">
        <v>38</v>
      </c>
      <c r="B45" s="42" t="s">
        <v>192</v>
      </c>
      <c r="C45" s="56"/>
      <c r="D45" s="61" t="s">
        <v>191</v>
      </c>
      <c r="E45" s="56" t="s">
        <v>74</v>
      </c>
      <c r="F45" s="57" t="s">
        <v>48</v>
      </c>
      <c r="G45" s="62" t="s">
        <v>193</v>
      </c>
      <c r="H45" s="44" t="str">
        <f t="shared" si="6"/>
        <v>LEP10946254</v>
      </c>
      <c r="I45" s="45" t="s">
        <v>18</v>
      </c>
      <c r="J45" s="45" t="s">
        <v>18</v>
      </c>
      <c r="K45" s="45" t="s">
        <v>376</v>
      </c>
      <c r="L45" s="45" t="s">
        <v>18</v>
      </c>
      <c r="M45" s="45" t="s">
        <v>18</v>
      </c>
      <c r="N45" s="45"/>
      <c r="O45" s="45" t="s">
        <v>18</v>
      </c>
      <c r="P45" s="45" t="s">
        <v>18</v>
      </c>
      <c r="Q45" s="45" t="s">
        <v>459</v>
      </c>
      <c r="R45" s="45" t="s">
        <v>459</v>
      </c>
      <c r="S45" s="45" t="s">
        <v>18</v>
      </c>
      <c r="T45" s="45" t="s">
        <v>18</v>
      </c>
      <c r="U45" s="45"/>
      <c r="V45" s="45" t="s">
        <v>18</v>
      </c>
      <c r="W45" s="45" t="s">
        <v>18</v>
      </c>
      <c r="X45" s="45" t="s">
        <v>18</v>
      </c>
      <c r="Y45" s="45" t="s">
        <v>459</v>
      </c>
      <c r="Z45" s="45" t="s">
        <v>459</v>
      </c>
      <c r="AA45" s="45" t="s">
        <v>18</v>
      </c>
      <c r="AB45" s="45"/>
      <c r="AC45" s="45" t="s">
        <v>18</v>
      </c>
      <c r="AD45" s="45" t="s">
        <v>18</v>
      </c>
      <c r="AE45" s="45" t="s">
        <v>18</v>
      </c>
      <c r="AF45" s="45" t="s">
        <v>18</v>
      </c>
      <c r="AG45" s="45" t="s">
        <v>18</v>
      </c>
      <c r="AH45" s="45" t="s">
        <v>18</v>
      </c>
      <c r="AI45" s="45"/>
      <c r="AJ45" s="45" t="s">
        <v>459</v>
      </c>
      <c r="AK45" s="45" t="s">
        <v>459</v>
      </c>
      <c r="AL45" s="45" t="s">
        <v>18</v>
      </c>
      <c r="AM45" s="45" t="s">
        <v>18</v>
      </c>
      <c r="AN45" s="46">
        <v>27</v>
      </c>
      <c r="AO45" s="47">
        <f t="shared" si="9"/>
        <v>20</v>
      </c>
      <c r="AP45" s="47">
        <f t="shared" si="10"/>
        <v>1</v>
      </c>
      <c r="AQ45" s="47">
        <f t="shared" si="11"/>
        <v>6</v>
      </c>
      <c r="AR45" s="47">
        <f t="shared" si="12"/>
        <v>0</v>
      </c>
      <c r="AS45" s="47">
        <f t="shared" si="13"/>
        <v>0</v>
      </c>
      <c r="AT45" s="47">
        <f t="shared" si="14"/>
        <v>0</v>
      </c>
      <c r="AU45" s="47"/>
      <c r="AV45" s="48"/>
      <c r="AW45" s="50">
        <f t="shared" si="7"/>
        <v>811571.4444444445</v>
      </c>
      <c r="AX45" s="50">
        <f t="shared" si="8"/>
        <v>0</v>
      </c>
      <c r="AY45" s="52"/>
      <c r="AZ45" s="52"/>
      <c r="BA45" s="50"/>
      <c r="BB45" s="50">
        <v>-40000</v>
      </c>
      <c r="BC45" s="43">
        <v>8</v>
      </c>
      <c r="BD45" s="43">
        <v>2026</v>
      </c>
      <c r="BE45" s="56"/>
      <c r="BF45" s="20">
        <v>1043449</v>
      </c>
    </row>
    <row r="46" spans="1:58" ht="29.1" customHeight="1">
      <c r="A46" s="42">
        <v>39</v>
      </c>
      <c r="B46" s="42" t="s">
        <v>433</v>
      </c>
      <c r="C46" s="56"/>
      <c r="D46" s="66" t="s">
        <v>416</v>
      </c>
      <c r="E46" s="68" t="s">
        <v>74</v>
      </c>
      <c r="F46" s="66" t="s">
        <v>197</v>
      </c>
      <c r="G46" s="69" t="s">
        <v>417</v>
      </c>
      <c r="H46" s="44" t="str">
        <f t="shared" si="6"/>
        <v>LEP112A46254</v>
      </c>
      <c r="I46" s="45" t="s">
        <v>18</v>
      </c>
      <c r="J46" s="45" t="s">
        <v>18</v>
      </c>
      <c r="K46" s="45" t="s">
        <v>18</v>
      </c>
      <c r="L46" s="45" t="s">
        <v>18</v>
      </c>
      <c r="M46" s="45" t="s">
        <v>18</v>
      </c>
      <c r="N46" s="45"/>
      <c r="O46" s="45" t="s">
        <v>459</v>
      </c>
      <c r="P46" s="45" t="s">
        <v>459</v>
      </c>
      <c r="Q46" s="45" t="s">
        <v>459</v>
      </c>
      <c r="R46" s="45" t="s">
        <v>459</v>
      </c>
      <c r="S46" s="45" t="s">
        <v>18</v>
      </c>
      <c r="T46" s="45" t="s">
        <v>18</v>
      </c>
      <c r="U46" s="45"/>
      <c r="V46" s="45" t="s">
        <v>18</v>
      </c>
      <c r="W46" s="45" t="s">
        <v>459</v>
      </c>
      <c r="X46" s="45" t="s">
        <v>18</v>
      </c>
      <c r="Y46" s="45" t="s">
        <v>459</v>
      </c>
      <c r="Z46" s="45" t="s">
        <v>18</v>
      </c>
      <c r="AA46" s="45" t="s">
        <v>18</v>
      </c>
      <c r="AB46" s="45"/>
      <c r="AC46" s="45" t="s">
        <v>459</v>
      </c>
      <c r="AD46" s="45" t="s">
        <v>18</v>
      </c>
      <c r="AE46" s="45" t="s">
        <v>18</v>
      </c>
      <c r="AF46" s="45" t="s">
        <v>18</v>
      </c>
      <c r="AG46" s="45" t="s">
        <v>18</v>
      </c>
      <c r="AH46" s="45" t="s">
        <v>18</v>
      </c>
      <c r="AI46" s="45"/>
      <c r="AJ46" s="45" t="s">
        <v>18</v>
      </c>
      <c r="AK46" s="45" t="s">
        <v>18</v>
      </c>
      <c r="AL46" s="45" t="s">
        <v>18</v>
      </c>
      <c r="AM46" s="45" t="s">
        <v>18</v>
      </c>
      <c r="AN46" s="46">
        <v>27</v>
      </c>
      <c r="AO46" s="47">
        <f t="shared" si="9"/>
        <v>20</v>
      </c>
      <c r="AP46" s="47">
        <f t="shared" si="10"/>
        <v>0</v>
      </c>
      <c r="AQ46" s="47">
        <f t="shared" si="11"/>
        <v>7</v>
      </c>
      <c r="AR46" s="47">
        <f t="shared" si="12"/>
        <v>0</v>
      </c>
      <c r="AS46" s="47">
        <f t="shared" si="13"/>
        <v>0</v>
      </c>
      <c r="AT46" s="47">
        <f t="shared" si="14"/>
        <v>0</v>
      </c>
      <c r="AU46" s="47"/>
      <c r="AV46" s="48"/>
      <c r="AW46" s="50">
        <f t="shared" si="7"/>
        <v>772925.18518518517</v>
      </c>
      <c r="AX46" s="50">
        <f t="shared" si="8"/>
        <v>0</v>
      </c>
      <c r="AY46" s="52"/>
      <c r="AZ46" s="52"/>
      <c r="BA46" s="49"/>
      <c r="BB46" s="52">
        <v>-40000</v>
      </c>
      <c r="BC46" s="56">
        <v>8</v>
      </c>
      <c r="BD46" s="56">
        <v>2026</v>
      </c>
      <c r="BE46" s="56" t="s">
        <v>436</v>
      </c>
      <c r="BF46" s="20">
        <v>1043449</v>
      </c>
    </row>
    <row r="47" spans="1:58" ht="29.1" customHeight="1">
      <c r="A47" s="42">
        <v>40</v>
      </c>
      <c r="B47" s="42" t="s">
        <v>201</v>
      </c>
      <c r="C47" s="43"/>
      <c r="D47" s="61" t="s">
        <v>195</v>
      </c>
      <c r="E47" s="43" t="s">
        <v>74</v>
      </c>
      <c r="F47" s="44" t="s">
        <v>197</v>
      </c>
      <c r="G47" s="60" t="s">
        <v>199</v>
      </c>
      <c r="H47" s="44" t="str">
        <f t="shared" si="6"/>
        <v>LEP11346254</v>
      </c>
      <c r="I47" s="45" t="s">
        <v>18</v>
      </c>
      <c r="J47" s="45" t="s">
        <v>18</v>
      </c>
      <c r="K47" s="45" t="s">
        <v>18</v>
      </c>
      <c r="L47" s="45" t="s">
        <v>18</v>
      </c>
      <c r="M47" s="45" t="s">
        <v>18</v>
      </c>
      <c r="N47" s="45"/>
      <c r="O47" s="45" t="s">
        <v>18</v>
      </c>
      <c r="P47" s="45" t="s">
        <v>18</v>
      </c>
      <c r="Q47" s="45" t="s">
        <v>18</v>
      </c>
      <c r="R47" s="45" t="s">
        <v>18</v>
      </c>
      <c r="S47" s="45" t="s">
        <v>18</v>
      </c>
      <c r="T47" s="45" t="s">
        <v>18</v>
      </c>
      <c r="U47" s="45"/>
      <c r="V47" s="45" t="s">
        <v>18</v>
      </c>
      <c r="W47" s="45" t="s">
        <v>18</v>
      </c>
      <c r="X47" s="45" t="s">
        <v>18</v>
      </c>
      <c r="Y47" s="45" t="s">
        <v>18</v>
      </c>
      <c r="Z47" s="45" t="s">
        <v>18</v>
      </c>
      <c r="AA47" s="45" t="s">
        <v>376</v>
      </c>
      <c r="AB47" s="45"/>
      <c r="AC47" s="45" t="s">
        <v>18</v>
      </c>
      <c r="AD47" s="45" t="s">
        <v>18</v>
      </c>
      <c r="AE47" s="45" t="s">
        <v>18</v>
      </c>
      <c r="AF47" s="45" t="s">
        <v>18</v>
      </c>
      <c r="AG47" s="45" t="s">
        <v>18</v>
      </c>
      <c r="AH47" s="45" t="s">
        <v>18</v>
      </c>
      <c r="AI47" s="45"/>
      <c r="AJ47" s="45" t="s">
        <v>18</v>
      </c>
      <c r="AK47" s="45" t="s">
        <v>18</v>
      </c>
      <c r="AL47" s="45" t="s">
        <v>18</v>
      </c>
      <c r="AM47" s="45" t="s">
        <v>18</v>
      </c>
      <c r="AN47" s="46">
        <v>27</v>
      </c>
      <c r="AO47" s="47">
        <f t="shared" si="9"/>
        <v>26</v>
      </c>
      <c r="AP47" s="47">
        <f t="shared" si="10"/>
        <v>1</v>
      </c>
      <c r="AQ47" s="47">
        <f t="shared" si="11"/>
        <v>0</v>
      </c>
      <c r="AR47" s="47">
        <f t="shared" si="12"/>
        <v>0</v>
      </c>
      <c r="AS47" s="47">
        <f t="shared" si="13"/>
        <v>0</v>
      </c>
      <c r="AT47" s="47">
        <f t="shared" si="14"/>
        <v>0</v>
      </c>
      <c r="AU47" s="47"/>
      <c r="AV47" s="48"/>
      <c r="AW47" s="50">
        <f t="shared" si="7"/>
        <v>1000000</v>
      </c>
      <c r="AX47" s="50">
        <f t="shared" si="8"/>
        <v>500000</v>
      </c>
      <c r="AY47" s="50">
        <f>13000*AO47</f>
        <v>338000</v>
      </c>
      <c r="AZ47" s="50"/>
      <c r="BA47" s="50"/>
      <c r="BB47" s="50">
        <v>-40000</v>
      </c>
      <c r="BC47" s="43">
        <v>8</v>
      </c>
      <c r="BD47" s="43">
        <v>2026</v>
      </c>
      <c r="BE47" s="43"/>
      <c r="BF47" s="20">
        <v>1000000</v>
      </c>
    </row>
    <row r="48" spans="1:58" ht="29.1" customHeight="1">
      <c r="A48" s="42">
        <v>41</v>
      </c>
      <c r="B48" s="42" t="s">
        <v>202</v>
      </c>
      <c r="C48" s="43"/>
      <c r="D48" s="61" t="s">
        <v>196</v>
      </c>
      <c r="E48" s="43" t="s">
        <v>74</v>
      </c>
      <c r="F48" s="44" t="s">
        <v>197</v>
      </c>
      <c r="G48" s="60" t="s">
        <v>199</v>
      </c>
      <c r="H48" s="44" t="str">
        <f t="shared" si="6"/>
        <v>LEP11446254</v>
      </c>
      <c r="I48" s="45" t="s">
        <v>18</v>
      </c>
      <c r="J48" s="45" t="s">
        <v>459</v>
      </c>
      <c r="K48" s="45" t="s">
        <v>18</v>
      </c>
      <c r="L48" s="45" t="s">
        <v>18</v>
      </c>
      <c r="M48" s="45" t="s">
        <v>18</v>
      </c>
      <c r="N48" s="45"/>
      <c r="O48" s="45" t="s">
        <v>18</v>
      </c>
      <c r="P48" s="45" t="s">
        <v>18</v>
      </c>
      <c r="Q48" s="45" t="s">
        <v>18</v>
      </c>
      <c r="R48" s="45" t="s">
        <v>18</v>
      </c>
      <c r="S48" s="45" t="s">
        <v>18</v>
      </c>
      <c r="T48" s="45" t="s">
        <v>18</v>
      </c>
      <c r="U48" s="45"/>
      <c r="V48" s="45" t="s">
        <v>459</v>
      </c>
      <c r="W48" s="45" t="s">
        <v>18</v>
      </c>
      <c r="X48" s="45" t="s">
        <v>18</v>
      </c>
      <c r="Y48" s="45" t="s">
        <v>376</v>
      </c>
      <c r="Z48" s="45" t="s">
        <v>18</v>
      </c>
      <c r="AA48" s="45" t="s">
        <v>18</v>
      </c>
      <c r="AB48" s="45"/>
      <c r="AC48" s="45" t="s">
        <v>18</v>
      </c>
      <c r="AD48" s="45" t="s">
        <v>18</v>
      </c>
      <c r="AE48" s="45" t="s">
        <v>18</v>
      </c>
      <c r="AF48" s="45" t="s">
        <v>18</v>
      </c>
      <c r="AG48" s="45" t="s">
        <v>18</v>
      </c>
      <c r="AH48" s="45" t="s">
        <v>18</v>
      </c>
      <c r="AI48" s="45"/>
      <c r="AJ48" s="45" t="s">
        <v>18</v>
      </c>
      <c r="AK48" s="45" t="s">
        <v>18</v>
      </c>
      <c r="AL48" s="45" t="s">
        <v>18</v>
      </c>
      <c r="AM48" s="45" t="s">
        <v>18</v>
      </c>
      <c r="AN48" s="46">
        <v>27</v>
      </c>
      <c r="AO48" s="47">
        <f t="shared" si="9"/>
        <v>24</v>
      </c>
      <c r="AP48" s="47">
        <f t="shared" si="10"/>
        <v>1</v>
      </c>
      <c r="AQ48" s="47">
        <f t="shared" si="11"/>
        <v>2</v>
      </c>
      <c r="AR48" s="47">
        <f t="shared" si="12"/>
        <v>0</v>
      </c>
      <c r="AS48" s="47">
        <f t="shared" si="13"/>
        <v>0</v>
      </c>
      <c r="AT48" s="47">
        <f t="shared" si="14"/>
        <v>0</v>
      </c>
      <c r="AU48" s="47"/>
      <c r="AV48" s="48"/>
      <c r="AW48" s="50">
        <f t="shared" si="7"/>
        <v>966156.48148148146</v>
      </c>
      <c r="AX48" s="50">
        <f t="shared" si="8"/>
        <v>250000</v>
      </c>
      <c r="AY48" s="50"/>
      <c r="AZ48" s="50"/>
      <c r="BA48" s="50"/>
      <c r="BB48" s="50">
        <v>-40000</v>
      </c>
      <c r="BC48" s="43">
        <v>8</v>
      </c>
      <c r="BD48" s="43">
        <v>2026</v>
      </c>
      <c r="BE48" s="43"/>
      <c r="BF48" s="20">
        <v>1043449</v>
      </c>
    </row>
    <row r="49" spans="1:58" ht="29.1" customHeight="1">
      <c r="A49" s="42">
        <v>42</v>
      </c>
      <c r="B49" s="42" t="s">
        <v>434</v>
      </c>
      <c r="C49" s="56"/>
      <c r="D49" s="66" t="s">
        <v>418</v>
      </c>
      <c r="E49" s="68" t="s">
        <v>74</v>
      </c>
      <c r="F49" s="66" t="s">
        <v>197</v>
      </c>
      <c r="G49" s="69" t="s">
        <v>417</v>
      </c>
      <c r="H49" s="44" t="str">
        <f t="shared" si="6"/>
        <v>LEP116A46254</v>
      </c>
      <c r="I49" s="45" t="s">
        <v>18</v>
      </c>
      <c r="J49" s="45" t="s">
        <v>18</v>
      </c>
      <c r="K49" s="45" t="s">
        <v>18</v>
      </c>
      <c r="L49" s="45" t="s">
        <v>18</v>
      </c>
      <c r="M49" s="45" t="s">
        <v>18</v>
      </c>
      <c r="N49" s="45"/>
      <c r="O49" s="45" t="s">
        <v>459</v>
      </c>
      <c r="P49" s="45" t="s">
        <v>459</v>
      </c>
      <c r="Q49" s="45" t="s">
        <v>459</v>
      </c>
      <c r="R49" s="45" t="s">
        <v>459</v>
      </c>
      <c r="S49" s="45" t="s">
        <v>18</v>
      </c>
      <c r="T49" s="45" t="s">
        <v>18</v>
      </c>
      <c r="U49" s="45"/>
      <c r="V49" s="45" t="s">
        <v>18</v>
      </c>
      <c r="W49" s="45" t="s">
        <v>459</v>
      </c>
      <c r="X49" s="45" t="s">
        <v>18</v>
      </c>
      <c r="Y49" s="45" t="s">
        <v>459</v>
      </c>
      <c r="Z49" s="45" t="s">
        <v>459</v>
      </c>
      <c r="AA49" s="45" t="s">
        <v>18</v>
      </c>
      <c r="AB49" s="45"/>
      <c r="AC49" s="45" t="s">
        <v>18</v>
      </c>
      <c r="AD49" s="45" t="s">
        <v>18</v>
      </c>
      <c r="AE49" s="45" t="s">
        <v>18</v>
      </c>
      <c r="AF49" s="45" t="s">
        <v>18</v>
      </c>
      <c r="AG49" s="45" t="s">
        <v>18</v>
      </c>
      <c r="AH49" s="45" t="s">
        <v>18</v>
      </c>
      <c r="AI49" s="45"/>
      <c r="AJ49" s="45" t="s">
        <v>18</v>
      </c>
      <c r="AK49" s="45" t="s">
        <v>18</v>
      </c>
      <c r="AL49" s="45" t="s">
        <v>18</v>
      </c>
      <c r="AM49" s="45" t="s">
        <v>18</v>
      </c>
      <c r="AN49" s="46">
        <v>27</v>
      </c>
      <c r="AO49" s="47">
        <f t="shared" si="9"/>
        <v>20</v>
      </c>
      <c r="AP49" s="47">
        <f t="shared" si="10"/>
        <v>0</v>
      </c>
      <c r="AQ49" s="47">
        <f t="shared" si="11"/>
        <v>7</v>
      </c>
      <c r="AR49" s="47">
        <f t="shared" si="12"/>
        <v>0</v>
      </c>
      <c r="AS49" s="47">
        <f t="shared" si="13"/>
        <v>0</v>
      </c>
      <c r="AT49" s="47">
        <f t="shared" si="14"/>
        <v>0</v>
      </c>
      <c r="AU49" s="47"/>
      <c r="AV49" s="48"/>
      <c r="AW49" s="103">
        <f t="shared" si="7"/>
        <v>0</v>
      </c>
      <c r="AX49" s="50">
        <f t="shared" si="8"/>
        <v>0</v>
      </c>
      <c r="AY49" s="52"/>
      <c r="AZ49" s="52"/>
      <c r="BA49" s="49"/>
      <c r="BB49" s="52">
        <v>-40000</v>
      </c>
      <c r="BC49" s="56">
        <v>8</v>
      </c>
      <c r="BD49" s="56">
        <v>2026</v>
      </c>
      <c r="BE49" s="56" t="s">
        <v>436</v>
      </c>
      <c r="BF49" s="20">
        <v>0</v>
      </c>
    </row>
    <row r="50" spans="1:58" ht="29.1" customHeight="1">
      <c r="A50" s="42">
        <v>43</v>
      </c>
      <c r="B50" s="42" t="s">
        <v>206</v>
      </c>
      <c r="C50" s="56"/>
      <c r="D50" s="61" t="s">
        <v>207</v>
      </c>
      <c r="E50" s="56" t="s">
        <v>74</v>
      </c>
      <c r="F50" s="57" t="s">
        <v>197</v>
      </c>
      <c r="G50" s="62" t="s">
        <v>208</v>
      </c>
      <c r="H50" s="44" t="str">
        <f t="shared" si="6"/>
        <v>LEP12746254</v>
      </c>
      <c r="I50" s="45" t="s">
        <v>18</v>
      </c>
      <c r="J50" s="45" t="s">
        <v>18</v>
      </c>
      <c r="K50" s="45" t="s">
        <v>18</v>
      </c>
      <c r="L50" s="45" t="s">
        <v>18</v>
      </c>
      <c r="M50" s="45" t="s">
        <v>18</v>
      </c>
      <c r="N50" s="45"/>
      <c r="O50" s="45" t="s">
        <v>18</v>
      </c>
      <c r="P50" s="45" t="s">
        <v>18</v>
      </c>
      <c r="Q50" s="45" t="s">
        <v>18</v>
      </c>
      <c r="R50" s="45" t="s">
        <v>18</v>
      </c>
      <c r="S50" s="45" t="s">
        <v>18</v>
      </c>
      <c r="T50" s="45" t="s">
        <v>18</v>
      </c>
      <c r="U50" s="45"/>
      <c r="V50" s="45" t="s">
        <v>18</v>
      </c>
      <c r="W50" s="45" t="s">
        <v>18</v>
      </c>
      <c r="X50" s="45" t="s">
        <v>18</v>
      </c>
      <c r="Y50" s="45" t="s">
        <v>18</v>
      </c>
      <c r="Z50" s="45" t="s">
        <v>18</v>
      </c>
      <c r="AA50" s="45" t="s">
        <v>18</v>
      </c>
      <c r="AB50" s="45"/>
      <c r="AC50" s="45" t="s">
        <v>18</v>
      </c>
      <c r="AD50" s="45" t="s">
        <v>18</v>
      </c>
      <c r="AE50" s="45" t="s">
        <v>376</v>
      </c>
      <c r="AF50" s="45" t="s">
        <v>18</v>
      </c>
      <c r="AG50" s="45" t="s">
        <v>18</v>
      </c>
      <c r="AH50" s="45" t="s">
        <v>18</v>
      </c>
      <c r="AI50" s="45"/>
      <c r="AJ50" s="45" t="s">
        <v>18</v>
      </c>
      <c r="AK50" s="45" t="s">
        <v>18</v>
      </c>
      <c r="AL50" s="45" t="s">
        <v>18</v>
      </c>
      <c r="AM50" s="45" t="s">
        <v>18</v>
      </c>
      <c r="AN50" s="46">
        <v>27</v>
      </c>
      <c r="AO50" s="47">
        <f t="shared" si="9"/>
        <v>26</v>
      </c>
      <c r="AP50" s="47">
        <f t="shared" si="10"/>
        <v>1</v>
      </c>
      <c r="AQ50" s="47">
        <f t="shared" si="11"/>
        <v>0</v>
      </c>
      <c r="AR50" s="47">
        <f t="shared" si="12"/>
        <v>0</v>
      </c>
      <c r="AS50" s="47">
        <f t="shared" si="13"/>
        <v>0</v>
      </c>
      <c r="AT50" s="47">
        <f t="shared" si="14"/>
        <v>0</v>
      </c>
      <c r="AU50" s="47"/>
      <c r="AV50" s="48"/>
      <c r="AW50" s="50">
        <f t="shared" si="7"/>
        <v>1064259</v>
      </c>
      <c r="AX50" s="50">
        <f t="shared" si="8"/>
        <v>500000</v>
      </c>
      <c r="AY50" s="52"/>
      <c r="AZ50" s="52"/>
      <c r="BA50" s="50"/>
      <c r="BB50" s="52">
        <v>-40000</v>
      </c>
      <c r="BC50" s="43">
        <v>8</v>
      </c>
      <c r="BD50" s="43">
        <v>2026</v>
      </c>
      <c r="BE50" s="43"/>
      <c r="BF50" s="20">
        <v>1064259</v>
      </c>
    </row>
    <row r="51" spans="1:58" ht="29.1" customHeight="1">
      <c r="A51" s="42">
        <v>44</v>
      </c>
      <c r="B51" s="42" t="s">
        <v>211</v>
      </c>
      <c r="C51" s="43"/>
      <c r="D51" s="61" t="s">
        <v>215</v>
      </c>
      <c r="E51" s="43" t="s">
        <v>74</v>
      </c>
      <c r="F51" s="44" t="s">
        <v>197</v>
      </c>
      <c r="G51" s="60" t="s">
        <v>208</v>
      </c>
      <c r="H51" s="44" t="str">
        <f t="shared" si="6"/>
        <v>LEP13246254</v>
      </c>
      <c r="I51" s="45" t="s">
        <v>18</v>
      </c>
      <c r="J51" s="45" t="s">
        <v>376</v>
      </c>
      <c r="K51" s="45" t="s">
        <v>18</v>
      </c>
      <c r="L51" s="45" t="s">
        <v>18</v>
      </c>
      <c r="M51" s="45" t="s">
        <v>18</v>
      </c>
      <c r="N51" s="45"/>
      <c r="O51" s="45" t="s">
        <v>18</v>
      </c>
      <c r="P51" s="45" t="s">
        <v>18</v>
      </c>
      <c r="Q51" s="45" t="s">
        <v>18</v>
      </c>
      <c r="R51" s="45" t="s">
        <v>18</v>
      </c>
      <c r="S51" s="45" t="s">
        <v>18</v>
      </c>
      <c r="T51" s="45" t="s">
        <v>18</v>
      </c>
      <c r="U51" s="45"/>
      <c r="V51" s="45" t="s">
        <v>18</v>
      </c>
      <c r="W51" s="45" t="s">
        <v>18</v>
      </c>
      <c r="X51" s="45" t="s">
        <v>18</v>
      </c>
      <c r="Y51" s="45" t="s">
        <v>18</v>
      </c>
      <c r="Z51" s="45" t="s">
        <v>18</v>
      </c>
      <c r="AA51" s="45" t="s">
        <v>18</v>
      </c>
      <c r="AB51" s="45"/>
      <c r="AC51" s="45" t="s">
        <v>507</v>
      </c>
      <c r="AD51" s="45" t="s">
        <v>507</v>
      </c>
      <c r="AE51" s="45" t="s">
        <v>18</v>
      </c>
      <c r="AF51" s="45" t="s">
        <v>18</v>
      </c>
      <c r="AG51" s="45" t="s">
        <v>18</v>
      </c>
      <c r="AH51" s="45" t="s">
        <v>18</v>
      </c>
      <c r="AI51" s="45"/>
      <c r="AJ51" s="45" t="s">
        <v>18</v>
      </c>
      <c r="AK51" s="45" t="s">
        <v>18</v>
      </c>
      <c r="AL51" s="45" t="s">
        <v>18</v>
      </c>
      <c r="AM51" s="45" t="s">
        <v>18</v>
      </c>
      <c r="AN51" s="46">
        <v>27</v>
      </c>
      <c r="AO51" s="47">
        <f t="shared" si="9"/>
        <v>24</v>
      </c>
      <c r="AP51" s="47">
        <f t="shared" si="10"/>
        <v>1</v>
      </c>
      <c r="AQ51" s="47">
        <f t="shared" si="11"/>
        <v>0</v>
      </c>
      <c r="AR51" s="47">
        <f t="shared" si="12"/>
        <v>0</v>
      </c>
      <c r="AS51" s="47">
        <f t="shared" si="13"/>
        <v>2</v>
      </c>
      <c r="AT51" s="47">
        <f t="shared" si="14"/>
        <v>0</v>
      </c>
      <c r="AU51" s="47"/>
      <c r="AV51" s="48"/>
      <c r="AW51" s="50">
        <f t="shared" si="7"/>
        <v>966156.48148148146</v>
      </c>
      <c r="AX51" s="50">
        <f t="shared" si="8"/>
        <v>500000</v>
      </c>
      <c r="AY51" s="50"/>
      <c r="AZ51" s="50"/>
      <c r="BA51" s="50"/>
      <c r="BB51" s="52">
        <v>-40000</v>
      </c>
      <c r="BC51" s="43">
        <v>8</v>
      </c>
      <c r="BD51" s="43">
        <v>2026</v>
      </c>
      <c r="BE51" s="43"/>
      <c r="BF51" s="20">
        <v>1043449</v>
      </c>
    </row>
    <row r="52" spans="1:58" ht="29.1" customHeight="1">
      <c r="A52" s="42">
        <v>45</v>
      </c>
      <c r="B52" s="42" t="s">
        <v>212</v>
      </c>
      <c r="C52" s="43"/>
      <c r="D52" s="61" t="s">
        <v>216</v>
      </c>
      <c r="E52" s="43" t="s">
        <v>74</v>
      </c>
      <c r="F52" s="44" t="s">
        <v>197</v>
      </c>
      <c r="G52" s="60" t="s">
        <v>208</v>
      </c>
      <c r="H52" s="44" t="str">
        <f t="shared" si="6"/>
        <v>LEP13446254</v>
      </c>
      <c r="I52" s="45" t="s">
        <v>18</v>
      </c>
      <c r="J52" s="45" t="s">
        <v>18</v>
      </c>
      <c r="K52" s="45" t="s">
        <v>18</v>
      </c>
      <c r="L52" s="45" t="s">
        <v>18</v>
      </c>
      <c r="M52" s="45" t="s">
        <v>18</v>
      </c>
      <c r="N52" s="45"/>
      <c r="O52" s="45" t="s">
        <v>18</v>
      </c>
      <c r="P52" s="45" t="s">
        <v>18</v>
      </c>
      <c r="Q52" s="45" t="s">
        <v>18</v>
      </c>
      <c r="R52" s="45" t="s">
        <v>18</v>
      </c>
      <c r="S52" s="45" t="s">
        <v>18</v>
      </c>
      <c r="T52" s="45" t="s">
        <v>18</v>
      </c>
      <c r="U52" s="45"/>
      <c r="V52" s="45" t="s">
        <v>18</v>
      </c>
      <c r="W52" s="45" t="s">
        <v>459</v>
      </c>
      <c r="X52" s="45" t="s">
        <v>459</v>
      </c>
      <c r="Y52" s="45" t="s">
        <v>18</v>
      </c>
      <c r="Z52" s="45" t="s">
        <v>18</v>
      </c>
      <c r="AA52" s="45" t="s">
        <v>18</v>
      </c>
      <c r="AB52" s="45"/>
      <c r="AC52" s="45" t="s">
        <v>18</v>
      </c>
      <c r="AD52" s="45" t="s">
        <v>18</v>
      </c>
      <c r="AE52" s="45" t="s">
        <v>18</v>
      </c>
      <c r="AF52" s="45" t="s">
        <v>18</v>
      </c>
      <c r="AG52" s="45" t="s">
        <v>18</v>
      </c>
      <c r="AH52" s="45" t="s">
        <v>18</v>
      </c>
      <c r="AI52" s="45"/>
      <c r="AJ52" s="45" t="s">
        <v>18</v>
      </c>
      <c r="AK52" s="45" t="s">
        <v>18</v>
      </c>
      <c r="AL52" s="45" t="s">
        <v>18</v>
      </c>
      <c r="AM52" s="45" t="s">
        <v>18</v>
      </c>
      <c r="AN52" s="46">
        <v>27</v>
      </c>
      <c r="AO52" s="47">
        <f t="shared" si="9"/>
        <v>25</v>
      </c>
      <c r="AP52" s="47">
        <f t="shared" si="10"/>
        <v>0</v>
      </c>
      <c r="AQ52" s="47">
        <f t="shared" si="11"/>
        <v>2</v>
      </c>
      <c r="AR52" s="47">
        <f t="shared" si="12"/>
        <v>0</v>
      </c>
      <c r="AS52" s="47">
        <f t="shared" si="13"/>
        <v>0</v>
      </c>
      <c r="AT52" s="47">
        <f t="shared" si="14"/>
        <v>0</v>
      </c>
      <c r="AU52" s="47"/>
      <c r="AV52" s="48"/>
      <c r="AW52" s="50">
        <f t="shared" si="7"/>
        <v>966156.48148148146</v>
      </c>
      <c r="AX52" s="50">
        <f t="shared" si="8"/>
        <v>250000</v>
      </c>
      <c r="AY52" s="50"/>
      <c r="AZ52" s="50"/>
      <c r="BA52" s="52"/>
      <c r="BB52" s="52">
        <v>-40000</v>
      </c>
      <c r="BC52" s="43">
        <v>8</v>
      </c>
      <c r="BD52" s="43">
        <v>2026</v>
      </c>
      <c r="BE52" s="43"/>
      <c r="BF52" s="20">
        <v>1043449</v>
      </c>
    </row>
    <row r="53" spans="1:58" ht="29.1" customHeight="1">
      <c r="A53" s="42">
        <v>46</v>
      </c>
      <c r="B53" s="42" t="s">
        <v>221</v>
      </c>
      <c r="C53" s="43"/>
      <c r="D53" s="61" t="s">
        <v>223</v>
      </c>
      <c r="E53" s="43" t="s">
        <v>74</v>
      </c>
      <c r="F53" s="44" t="s">
        <v>197</v>
      </c>
      <c r="G53" s="65" t="s">
        <v>224</v>
      </c>
      <c r="H53" s="44" t="str">
        <f t="shared" si="6"/>
        <v>LEP14646254</v>
      </c>
      <c r="I53" s="45" t="s">
        <v>18</v>
      </c>
      <c r="J53" s="45" t="s">
        <v>18</v>
      </c>
      <c r="K53" s="45" t="s">
        <v>18</v>
      </c>
      <c r="L53" s="45" t="s">
        <v>18</v>
      </c>
      <c r="M53" s="45" t="s">
        <v>18</v>
      </c>
      <c r="N53" s="45"/>
      <c r="O53" s="45" t="s">
        <v>18</v>
      </c>
      <c r="P53" s="45" t="s">
        <v>18</v>
      </c>
      <c r="Q53" s="45" t="s">
        <v>18</v>
      </c>
      <c r="R53" s="45" t="s">
        <v>18</v>
      </c>
      <c r="S53" s="45" t="s">
        <v>18</v>
      </c>
      <c r="T53" s="45" t="s">
        <v>459</v>
      </c>
      <c r="U53" s="45"/>
      <c r="V53" s="45" t="s">
        <v>376</v>
      </c>
      <c r="W53" s="45" t="s">
        <v>459</v>
      </c>
      <c r="X53" s="45" t="s">
        <v>18</v>
      </c>
      <c r="Y53" s="45" t="s">
        <v>18</v>
      </c>
      <c r="Z53" s="45" t="s">
        <v>459</v>
      </c>
      <c r="AA53" s="45" t="s">
        <v>459</v>
      </c>
      <c r="AB53" s="45"/>
      <c r="AC53" s="45" t="s">
        <v>18</v>
      </c>
      <c r="AD53" s="45" t="s">
        <v>18</v>
      </c>
      <c r="AE53" s="45" t="s">
        <v>18</v>
      </c>
      <c r="AF53" s="45" t="s">
        <v>18</v>
      </c>
      <c r="AG53" s="45" t="s">
        <v>509</v>
      </c>
      <c r="AH53" s="45" t="s">
        <v>18</v>
      </c>
      <c r="AI53" s="45"/>
      <c r="AJ53" s="45" t="s">
        <v>18</v>
      </c>
      <c r="AK53" s="45" t="s">
        <v>18</v>
      </c>
      <c r="AL53" s="45" t="s">
        <v>18</v>
      </c>
      <c r="AM53" s="45" t="s">
        <v>18</v>
      </c>
      <c r="AN53" s="46">
        <v>27</v>
      </c>
      <c r="AO53" s="47">
        <f t="shared" si="9"/>
        <v>21.5</v>
      </c>
      <c r="AP53" s="47">
        <f t="shared" si="10"/>
        <v>1</v>
      </c>
      <c r="AQ53" s="47">
        <f t="shared" si="11"/>
        <v>4.5</v>
      </c>
      <c r="AR53" s="47">
        <f t="shared" si="12"/>
        <v>0</v>
      </c>
      <c r="AS53" s="47">
        <f t="shared" si="13"/>
        <v>0</v>
      </c>
      <c r="AT53" s="47">
        <f t="shared" si="14"/>
        <v>0</v>
      </c>
      <c r="AU53" s="47"/>
      <c r="AV53" s="48"/>
      <c r="AW53" s="50">
        <f t="shared" si="7"/>
        <v>886882.5</v>
      </c>
      <c r="AX53" s="50">
        <f t="shared" si="8"/>
        <v>0</v>
      </c>
      <c r="AY53" s="50"/>
      <c r="AZ53" s="50"/>
      <c r="BA53" s="50"/>
      <c r="BB53" s="52">
        <v>-40000</v>
      </c>
      <c r="BC53" s="43">
        <v>8</v>
      </c>
      <c r="BD53" s="43">
        <v>2026</v>
      </c>
      <c r="BE53" s="43"/>
      <c r="BF53" s="20">
        <v>1064259</v>
      </c>
    </row>
    <row r="54" spans="1:58" ht="29.1" customHeight="1">
      <c r="A54" s="42">
        <v>47</v>
      </c>
      <c r="B54" s="42" t="s">
        <v>228</v>
      </c>
      <c r="C54" s="56"/>
      <c r="D54" s="61" t="s">
        <v>229</v>
      </c>
      <c r="E54" s="56" t="s">
        <v>95</v>
      </c>
      <c r="F54" s="57" t="s">
        <v>230</v>
      </c>
      <c r="G54" s="65" t="s">
        <v>231</v>
      </c>
      <c r="H54" s="44" t="str">
        <f t="shared" si="6"/>
        <v>LEP14946254</v>
      </c>
      <c r="I54" s="45" t="s">
        <v>18</v>
      </c>
      <c r="J54" s="45" t="s">
        <v>18</v>
      </c>
      <c r="K54" s="45" t="s">
        <v>18</v>
      </c>
      <c r="L54" s="45" t="s">
        <v>18</v>
      </c>
      <c r="M54" s="45" t="s">
        <v>18</v>
      </c>
      <c r="N54" s="45"/>
      <c r="O54" s="45" t="s">
        <v>18</v>
      </c>
      <c r="P54" s="45" t="s">
        <v>18</v>
      </c>
      <c r="Q54" s="45" t="s">
        <v>18</v>
      </c>
      <c r="R54" s="45" t="s">
        <v>18</v>
      </c>
      <c r="S54" s="45" t="s">
        <v>18</v>
      </c>
      <c r="T54" s="45" t="s">
        <v>18</v>
      </c>
      <c r="U54" s="45"/>
      <c r="V54" s="45" t="s">
        <v>18</v>
      </c>
      <c r="W54" s="45" t="s">
        <v>18</v>
      </c>
      <c r="X54" s="45" t="s">
        <v>18</v>
      </c>
      <c r="Y54" s="45" t="s">
        <v>18</v>
      </c>
      <c r="Z54" s="45" t="s">
        <v>507</v>
      </c>
      <c r="AA54" s="45" t="s">
        <v>18</v>
      </c>
      <c r="AB54" s="45"/>
      <c r="AC54" s="45" t="s">
        <v>18</v>
      </c>
      <c r="AD54" s="45" t="s">
        <v>18</v>
      </c>
      <c r="AE54" s="45" t="s">
        <v>18</v>
      </c>
      <c r="AF54" s="45" t="s">
        <v>18</v>
      </c>
      <c r="AG54" s="45" t="s">
        <v>18</v>
      </c>
      <c r="AH54" s="45" t="s">
        <v>18</v>
      </c>
      <c r="AI54" s="45"/>
      <c r="AJ54" s="45" t="s">
        <v>18</v>
      </c>
      <c r="AK54" s="45" t="s">
        <v>18</v>
      </c>
      <c r="AL54" s="45" t="s">
        <v>18</v>
      </c>
      <c r="AM54" s="45" t="s">
        <v>18</v>
      </c>
      <c r="AN54" s="46">
        <v>27</v>
      </c>
      <c r="AO54" s="47">
        <f t="shared" si="9"/>
        <v>26</v>
      </c>
      <c r="AP54" s="47">
        <f t="shared" si="10"/>
        <v>0</v>
      </c>
      <c r="AQ54" s="47">
        <f t="shared" si="11"/>
        <v>0</v>
      </c>
      <c r="AR54" s="47">
        <f t="shared" si="12"/>
        <v>0</v>
      </c>
      <c r="AS54" s="47">
        <f t="shared" si="13"/>
        <v>1</v>
      </c>
      <c r="AT54" s="47">
        <f t="shared" si="14"/>
        <v>0</v>
      </c>
      <c r="AU54" s="47"/>
      <c r="AV54" s="48"/>
      <c r="AW54" s="50">
        <f t="shared" si="7"/>
        <v>962962.96296296292</v>
      </c>
      <c r="AX54" s="52">
        <f t="shared" si="8"/>
        <v>500000</v>
      </c>
      <c r="AY54" s="52"/>
      <c r="AZ54" s="52"/>
      <c r="BA54" s="52"/>
      <c r="BB54" s="52">
        <v>-40000</v>
      </c>
      <c r="BC54" s="56">
        <v>8</v>
      </c>
      <c r="BD54" s="56">
        <v>2026</v>
      </c>
      <c r="BE54" s="56"/>
      <c r="BF54" s="20">
        <v>1000000</v>
      </c>
    </row>
    <row r="55" spans="1:58" ht="29.1" customHeight="1">
      <c r="A55" s="42">
        <v>48</v>
      </c>
      <c r="B55" s="42" t="s">
        <v>234</v>
      </c>
      <c r="C55" s="43"/>
      <c r="D55" s="61" t="s">
        <v>235</v>
      </c>
      <c r="E55" s="43" t="s">
        <v>74</v>
      </c>
      <c r="F55" s="44" t="s">
        <v>197</v>
      </c>
      <c r="G55" s="65" t="s">
        <v>236</v>
      </c>
      <c r="H55" s="44" t="str">
        <f t="shared" si="6"/>
        <v>LEP15246254</v>
      </c>
      <c r="I55" s="45" t="s">
        <v>18</v>
      </c>
      <c r="J55" s="45" t="s">
        <v>18</v>
      </c>
      <c r="K55" s="45" t="s">
        <v>18</v>
      </c>
      <c r="L55" s="45" t="s">
        <v>18</v>
      </c>
      <c r="M55" s="45" t="s">
        <v>18</v>
      </c>
      <c r="N55" s="45"/>
      <c r="O55" s="45" t="s">
        <v>18</v>
      </c>
      <c r="P55" s="45" t="s">
        <v>18</v>
      </c>
      <c r="Q55" s="45" t="s">
        <v>18</v>
      </c>
      <c r="R55" s="45" t="s">
        <v>18</v>
      </c>
      <c r="S55" s="45" t="s">
        <v>18</v>
      </c>
      <c r="T55" s="45" t="s">
        <v>18</v>
      </c>
      <c r="U55" s="45"/>
      <c r="V55" s="45" t="s">
        <v>18</v>
      </c>
      <c r="W55" s="45" t="s">
        <v>18</v>
      </c>
      <c r="X55" s="45" t="s">
        <v>18</v>
      </c>
      <c r="Y55" s="45" t="s">
        <v>18</v>
      </c>
      <c r="Z55" s="45" t="s">
        <v>18</v>
      </c>
      <c r="AA55" s="45" t="s">
        <v>18</v>
      </c>
      <c r="AB55" s="45"/>
      <c r="AC55" s="45" t="s">
        <v>18</v>
      </c>
      <c r="AD55" s="45" t="s">
        <v>18</v>
      </c>
      <c r="AE55" s="45" t="s">
        <v>18</v>
      </c>
      <c r="AF55" s="45" t="s">
        <v>18</v>
      </c>
      <c r="AG55" s="45" t="s">
        <v>18</v>
      </c>
      <c r="AH55" s="45" t="s">
        <v>18</v>
      </c>
      <c r="AI55" s="45"/>
      <c r="AJ55" s="45" t="s">
        <v>18</v>
      </c>
      <c r="AK55" s="45" t="s">
        <v>18</v>
      </c>
      <c r="AL55" s="45" t="s">
        <v>18</v>
      </c>
      <c r="AM55" s="45" t="s">
        <v>18</v>
      </c>
      <c r="AN55" s="46">
        <v>27</v>
      </c>
      <c r="AO55" s="47">
        <f t="shared" si="9"/>
        <v>27</v>
      </c>
      <c r="AP55" s="47">
        <f t="shared" si="10"/>
        <v>0</v>
      </c>
      <c r="AQ55" s="47">
        <f t="shared" si="11"/>
        <v>0</v>
      </c>
      <c r="AR55" s="47">
        <f t="shared" si="12"/>
        <v>0</v>
      </c>
      <c r="AS55" s="47">
        <f t="shared" si="13"/>
        <v>0</v>
      </c>
      <c r="AT55" s="47">
        <f t="shared" si="14"/>
        <v>0</v>
      </c>
      <c r="AU55" s="47"/>
      <c r="AV55" s="48"/>
      <c r="AW55" s="50">
        <f t="shared" si="7"/>
        <v>1000000</v>
      </c>
      <c r="AX55" s="50">
        <f t="shared" si="8"/>
        <v>500000</v>
      </c>
      <c r="AY55" s="50">
        <f>13000*AO55</f>
        <v>351000</v>
      </c>
      <c r="AZ55" s="50"/>
      <c r="BA55" s="50"/>
      <c r="BB55" s="52">
        <v>-40000</v>
      </c>
      <c r="BC55" s="43">
        <v>8</v>
      </c>
      <c r="BD55" s="43">
        <v>2026</v>
      </c>
      <c r="BE55" s="43"/>
      <c r="BF55" s="20">
        <v>1000000</v>
      </c>
    </row>
    <row r="56" spans="1:58" ht="29.1" customHeight="1">
      <c r="A56" s="42">
        <v>49</v>
      </c>
      <c r="B56" s="42" t="s">
        <v>254</v>
      </c>
      <c r="C56" s="56"/>
      <c r="D56" s="61" t="s">
        <v>240</v>
      </c>
      <c r="E56" s="56" t="s">
        <v>74</v>
      </c>
      <c r="F56" s="57" t="s">
        <v>197</v>
      </c>
      <c r="G56" s="65" t="s">
        <v>246</v>
      </c>
      <c r="H56" s="44" t="str">
        <f t="shared" si="6"/>
        <v>LEP15846254</v>
      </c>
      <c r="I56" s="45" t="s">
        <v>459</v>
      </c>
      <c r="J56" s="45" t="s">
        <v>18</v>
      </c>
      <c r="K56" s="45" t="s">
        <v>18</v>
      </c>
      <c r="L56" s="45" t="s">
        <v>18</v>
      </c>
      <c r="M56" s="45" t="s">
        <v>459</v>
      </c>
      <c r="N56" s="45"/>
      <c r="O56" s="45" t="s">
        <v>459</v>
      </c>
      <c r="P56" s="45" t="s">
        <v>18</v>
      </c>
      <c r="Q56" s="45" t="s">
        <v>18</v>
      </c>
      <c r="R56" s="45" t="s">
        <v>18</v>
      </c>
      <c r="S56" s="45" t="s">
        <v>459</v>
      </c>
      <c r="T56" s="45" t="s">
        <v>459</v>
      </c>
      <c r="U56" s="45"/>
      <c r="V56" s="45" t="s">
        <v>459</v>
      </c>
      <c r="W56" s="45" t="s">
        <v>459</v>
      </c>
      <c r="X56" s="45" t="s">
        <v>18</v>
      </c>
      <c r="Y56" s="45" t="s">
        <v>459</v>
      </c>
      <c r="Z56" s="45" t="s">
        <v>459</v>
      </c>
      <c r="AA56" s="45" t="s">
        <v>459</v>
      </c>
      <c r="AB56" s="45"/>
      <c r="AC56" s="45" t="s">
        <v>459</v>
      </c>
      <c r="AD56" s="45" t="s">
        <v>459</v>
      </c>
      <c r="AE56" s="45" t="s">
        <v>459</v>
      </c>
      <c r="AF56" s="87"/>
      <c r="AG56" s="87"/>
      <c r="AH56" s="87"/>
      <c r="AI56" s="87"/>
      <c r="AJ56" s="87">
        <v>0</v>
      </c>
      <c r="AK56" s="87">
        <v>0</v>
      </c>
      <c r="AL56" s="87">
        <v>0</v>
      </c>
      <c r="AM56" s="87">
        <v>0</v>
      </c>
      <c r="AN56" s="46">
        <v>27</v>
      </c>
      <c r="AO56" s="47">
        <f t="shared" si="9"/>
        <v>7</v>
      </c>
      <c r="AP56" s="47">
        <f t="shared" si="10"/>
        <v>0</v>
      </c>
      <c r="AQ56" s="47">
        <f t="shared" si="11"/>
        <v>13</v>
      </c>
      <c r="AR56" s="47">
        <f t="shared" si="12"/>
        <v>0</v>
      </c>
      <c r="AS56" s="47">
        <f t="shared" si="13"/>
        <v>0</v>
      </c>
      <c r="AT56" s="47">
        <f t="shared" si="14"/>
        <v>0</v>
      </c>
      <c r="AU56" s="47"/>
      <c r="AV56" s="48"/>
      <c r="AW56" s="50">
        <f t="shared" si="7"/>
        <v>0</v>
      </c>
      <c r="AX56" s="50">
        <f t="shared" si="8"/>
        <v>0</v>
      </c>
      <c r="AY56" s="52"/>
      <c r="AZ56" s="52"/>
      <c r="BA56" s="50"/>
      <c r="BB56" s="52">
        <v>-40000</v>
      </c>
      <c r="BC56" s="43">
        <v>8</v>
      </c>
      <c r="BD56" s="43">
        <v>2026</v>
      </c>
      <c r="BE56" s="56"/>
      <c r="BF56" s="20">
        <v>0</v>
      </c>
    </row>
    <row r="57" spans="1:58" ht="29.1" customHeight="1">
      <c r="A57" s="42">
        <v>50</v>
      </c>
      <c r="B57" s="42" t="s">
        <v>266</v>
      </c>
      <c r="C57" s="56"/>
      <c r="D57" s="61" t="s">
        <v>242</v>
      </c>
      <c r="E57" s="56" t="s">
        <v>74</v>
      </c>
      <c r="F57" s="57" t="s">
        <v>197</v>
      </c>
      <c r="G57" s="65" t="s">
        <v>247</v>
      </c>
      <c r="H57" s="44" t="str">
        <f t="shared" si="6"/>
        <v>LEP165A46254</v>
      </c>
      <c r="I57" s="45" t="s">
        <v>18</v>
      </c>
      <c r="J57" s="45" t="s">
        <v>18</v>
      </c>
      <c r="K57" s="45" t="s">
        <v>18</v>
      </c>
      <c r="L57" s="45" t="s">
        <v>18</v>
      </c>
      <c r="M57" s="45" t="s">
        <v>18</v>
      </c>
      <c r="N57" s="45"/>
      <c r="O57" s="45" t="s">
        <v>18</v>
      </c>
      <c r="P57" s="45" t="s">
        <v>18</v>
      </c>
      <c r="Q57" s="45" t="s">
        <v>18</v>
      </c>
      <c r="R57" s="45" t="s">
        <v>18</v>
      </c>
      <c r="S57" s="45" t="s">
        <v>459</v>
      </c>
      <c r="T57" s="45" t="s">
        <v>459</v>
      </c>
      <c r="U57" s="45"/>
      <c r="V57" s="45" t="s">
        <v>459</v>
      </c>
      <c r="W57" s="45" t="s">
        <v>18</v>
      </c>
      <c r="X57" s="45" t="s">
        <v>18</v>
      </c>
      <c r="Y57" s="45" t="s">
        <v>18</v>
      </c>
      <c r="Z57" s="45" t="s">
        <v>459</v>
      </c>
      <c r="AA57" s="45" t="s">
        <v>18</v>
      </c>
      <c r="AB57" s="45"/>
      <c r="AC57" s="45" t="s">
        <v>18</v>
      </c>
      <c r="AD57" s="45" t="s">
        <v>18</v>
      </c>
      <c r="AE57" s="45" t="s">
        <v>18</v>
      </c>
      <c r="AF57" s="45" t="s">
        <v>18</v>
      </c>
      <c r="AG57" s="45" t="s">
        <v>18</v>
      </c>
      <c r="AH57" s="45" t="s">
        <v>18</v>
      </c>
      <c r="AI57" s="45"/>
      <c r="AJ57" s="45" t="s">
        <v>18</v>
      </c>
      <c r="AK57" s="45" t="s">
        <v>18</v>
      </c>
      <c r="AL57" s="45" t="s">
        <v>18</v>
      </c>
      <c r="AM57" s="45" t="s">
        <v>459</v>
      </c>
      <c r="AN57" s="46">
        <v>27</v>
      </c>
      <c r="AO57" s="47">
        <f t="shared" si="9"/>
        <v>22</v>
      </c>
      <c r="AP57" s="47">
        <f t="shared" si="10"/>
        <v>0</v>
      </c>
      <c r="AQ57" s="47">
        <f t="shared" si="11"/>
        <v>5</v>
      </c>
      <c r="AR57" s="47">
        <f t="shared" si="12"/>
        <v>0</v>
      </c>
      <c r="AS57" s="47">
        <f t="shared" si="13"/>
        <v>0</v>
      </c>
      <c r="AT57" s="47">
        <f t="shared" si="14"/>
        <v>0</v>
      </c>
      <c r="AU57" s="47"/>
      <c r="AV57" s="48"/>
      <c r="AW57" s="50">
        <f t="shared" si="7"/>
        <v>850217.70370370371</v>
      </c>
      <c r="AX57" s="50">
        <f t="shared" si="8"/>
        <v>0</v>
      </c>
      <c r="AY57" s="52"/>
      <c r="AZ57" s="52"/>
      <c r="BA57" s="52"/>
      <c r="BB57" s="52">
        <v>-40000</v>
      </c>
      <c r="BC57" s="56">
        <v>8</v>
      </c>
      <c r="BD57" s="56">
        <v>2026</v>
      </c>
      <c r="BE57" s="56"/>
      <c r="BF57" s="20">
        <v>1043449</v>
      </c>
    </row>
    <row r="58" spans="1:58" ht="29.1" customHeight="1">
      <c r="A58" s="42">
        <v>51</v>
      </c>
      <c r="B58" s="42" t="s">
        <v>257</v>
      </c>
      <c r="C58" s="56"/>
      <c r="D58" s="61" t="s">
        <v>244</v>
      </c>
      <c r="E58" s="56" t="s">
        <v>95</v>
      </c>
      <c r="F58" s="57" t="s">
        <v>105</v>
      </c>
      <c r="G58" s="65" t="s">
        <v>250</v>
      </c>
      <c r="H58" s="44" t="str">
        <f t="shared" si="6"/>
        <v>LEP16946254</v>
      </c>
      <c r="I58" s="45" t="s">
        <v>18</v>
      </c>
      <c r="J58" s="45" t="s">
        <v>18</v>
      </c>
      <c r="K58" s="45" t="s">
        <v>18</v>
      </c>
      <c r="L58" s="45" t="s">
        <v>18</v>
      </c>
      <c r="M58" s="45" t="s">
        <v>18</v>
      </c>
      <c r="N58" s="45"/>
      <c r="O58" s="45" t="s">
        <v>376</v>
      </c>
      <c r="P58" s="45" t="s">
        <v>18</v>
      </c>
      <c r="Q58" s="45" t="s">
        <v>18</v>
      </c>
      <c r="R58" s="45" t="s">
        <v>18</v>
      </c>
      <c r="S58" s="45" t="s">
        <v>18</v>
      </c>
      <c r="T58" s="45" t="s">
        <v>18</v>
      </c>
      <c r="U58" s="45"/>
      <c r="V58" s="45" t="s">
        <v>18</v>
      </c>
      <c r="W58" s="45" t="s">
        <v>18</v>
      </c>
      <c r="X58" s="45" t="s">
        <v>18</v>
      </c>
      <c r="Y58" s="45" t="s">
        <v>18</v>
      </c>
      <c r="Z58" s="45" t="s">
        <v>459</v>
      </c>
      <c r="AA58" s="45" t="s">
        <v>459</v>
      </c>
      <c r="AB58" s="45"/>
      <c r="AC58" s="45" t="s">
        <v>18</v>
      </c>
      <c r="AD58" s="45" t="s">
        <v>18</v>
      </c>
      <c r="AE58" s="45" t="s">
        <v>18</v>
      </c>
      <c r="AF58" s="45" t="s">
        <v>18</v>
      </c>
      <c r="AG58" s="45" t="s">
        <v>18</v>
      </c>
      <c r="AH58" s="45" t="s">
        <v>18</v>
      </c>
      <c r="AI58" s="45"/>
      <c r="AJ58" s="45" t="s">
        <v>18</v>
      </c>
      <c r="AK58" s="45" t="s">
        <v>18</v>
      </c>
      <c r="AL58" s="45" t="s">
        <v>18</v>
      </c>
      <c r="AM58" s="45" t="s">
        <v>18</v>
      </c>
      <c r="AN58" s="46">
        <v>27</v>
      </c>
      <c r="AO58" s="47">
        <f t="shared" si="9"/>
        <v>24</v>
      </c>
      <c r="AP58" s="47">
        <f t="shared" si="10"/>
        <v>1</v>
      </c>
      <c r="AQ58" s="47">
        <f t="shared" si="11"/>
        <v>2</v>
      </c>
      <c r="AR58" s="47">
        <f t="shared" si="12"/>
        <v>0</v>
      </c>
      <c r="AS58" s="47">
        <f t="shared" si="13"/>
        <v>0</v>
      </c>
      <c r="AT58" s="47">
        <f t="shared" si="14"/>
        <v>0</v>
      </c>
      <c r="AU58" s="47"/>
      <c r="AV58" s="48"/>
      <c r="AW58" s="50">
        <f t="shared" si="7"/>
        <v>925925.92592592596</v>
      </c>
      <c r="AX58" s="52">
        <f t="shared" si="8"/>
        <v>250000</v>
      </c>
      <c r="AY58" s="52"/>
      <c r="AZ58" s="52"/>
      <c r="BA58" s="52"/>
      <c r="BB58" s="52">
        <v>-40000</v>
      </c>
      <c r="BC58" s="56">
        <v>8</v>
      </c>
      <c r="BD58" s="56">
        <v>2026</v>
      </c>
      <c r="BE58" s="56"/>
      <c r="BF58" s="20">
        <v>1000000</v>
      </c>
    </row>
    <row r="59" spans="1:58" ht="29.1" customHeight="1">
      <c r="A59" s="42">
        <v>52</v>
      </c>
      <c r="B59" s="42" t="s">
        <v>258</v>
      </c>
      <c r="C59" s="56"/>
      <c r="D59" s="61" t="s">
        <v>261</v>
      </c>
      <c r="E59" s="56" t="s">
        <v>95</v>
      </c>
      <c r="F59" s="57" t="s">
        <v>96</v>
      </c>
      <c r="G59" s="65" t="s">
        <v>264</v>
      </c>
      <c r="H59" s="44" t="str">
        <f t="shared" si="6"/>
        <v>LEP17046254</v>
      </c>
      <c r="I59" s="45" t="s">
        <v>18</v>
      </c>
      <c r="J59" s="45" t="s">
        <v>18</v>
      </c>
      <c r="K59" s="45" t="s">
        <v>18</v>
      </c>
      <c r="L59" s="45" t="s">
        <v>18</v>
      </c>
      <c r="M59" s="45" t="s">
        <v>18</v>
      </c>
      <c r="N59" s="45"/>
      <c r="O59" s="45" t="s">
        <v>18</v>
      </c>
      <c r="P59" s="45" t="s">
        <v>18</v>
      </c>
      <c r="Q59" s="45" t="s">
        <v>376</v>
      </c>
      <c r="R59" s="45" t="s">
        <v>459</v>
      </c>
      <c r="S59" s="45" t="s">
        <v>18</v>
      </c>
      <c r="T59" s="45" t="s">
        <v>18</v>
      </c>
      <c r="U59" s="45"/>
      <c r="V59" s="45" t="s">
        <v>18</v>
      </c>
      <c r="W59" s="45" t="s">
        <v>18</v>
      </c>
      <c r="X59" s="45" t="s">
        <v>18</v>
      </c>
      <c r="Y59" s="45" t="s">
        <v>18</v>
      </c>
      <c r="Z59" s="45" t="s">
        <v>18</v>
      </c>
      <c r="AA59" s="45" t="s">
        <v>18</v>
      </c>
      <c r="AB59" s="45"/>
      <c r="AC59" s="45" t="s">
        <v>18</v>
      </c>
      <c r="AD59" s="45" t="s">
        <v>18</v>
      </c>
      <c r="AE59" s="45" t="s">
        <v>18</v>
      </c>
      <c r="AF59" s="45" t="s">
        <v>18</v>
      </c>
      <c r="AG59" s="45" t="s">
        <v>18</v>
      </c>
      <c r="AH59" s="45" t="s">
        <v>18</v>
      </c>
      <c r="AI59" s="45"/>
      <c r="AJ59" s="45" t="s">
        <v>18</v>
      </c>
      <c r="AK59" s="45" t="s">
        <v>18</v>
      </c>
      <c r="AL59" s="45" t="s">
        <v>18</v>
      </c>
      <c r="AM59" s="45" t="s">
        <v>18</v>
      </c>
      <c r="AN59" s="46">
        <v>27</v>
      </c>
      <c r="AO59" s="47">
        <f t="shared" si="9"/>
        <v>25</v>
      </c>
      <c r="AP59" s="47">
        <f t="shared" si="10"/>
        <v>1</v>
      </c>
      <c r="AQ59" s="47">
        <f t="shared" si="11"/>
        <v>1</v>
      </c>
      <c r="AR59" s="47">
        <f t="shared" si="12"/>
        <v>0</v>
      </c>
      <c r="AS59" s="47">
        <f t="shared" si="13"/>
        <v>0</v>
      </c>
      <c r="AT59" s="47">
        <f t="shared" si="14"/>
        <v>0</v>
      </c>
      <c r="AU59" s="47"/>
      <c r="AV59" s="48"/>
      <c r="AW59" s="50">
        <f t="shared" si="7"/>
        <v>962962.96296296292</v>
      </c>
      <c r="AX59" s="52">
        <f t="shared" si="8"/>
        <v>500000</v>
      </c>
      <c r="AY59" s="52"/>
      <c r="AZ59" s="52"/>
      <c r="BA59" s="52"/>
      <c r="BB59" s="52">
        <v>-40000</v>
      </c>
      <c r="BC59" s="56">
        <v>8</v>
      </c>
      <c r="BD59" s="56">
        <v>2026</v>
      </c>
      <c r="BE59" s="56"/>
      <c r="BF59" s="20">
        <v>1000000</v>
      </c>
    </row>
    <row r="60" spans="1:58" ht="29.1" customHeight="1">
      <c r="A60" s="42">
        <v>53</v>
      </c>
      <c r="B60" s="42" t="s">
        <v>260</v>
      </c>
      <c r="C60" s="56"/>
      <c r="D60" s="61" t="s">
        <v>263</v>
      </c>
      <c r="E60" s="56" t="s">
        <v>95</v>
      </c>
      <c r="F60" s="57" t="s">
        <v>105</v>
      </c>
      <c r="G60" s="65" t="s">
        <v>265</v>
      </c>
      <c r="H60" s="44" t="str">
        <f t="shared" si="6"/>
        <v>LEP18046254</v>
      </c>
      <c r="I60" s="45" t="s">
        <v>18</v>
      </c>
      <c r="J60" s="45" t="s">
        <v>18</v>
      </c>
      <c r="K60" s="45" t="s">
        <v>18</v>
      </c>
      <c r="L60" s="45" t="s">
        <v>18</v>
      </c>
      <c r="M60" s="45" t="s">
        <v>18</v>
      </c>
      <c r="N60" s="45"/>
      <c r="O60" s="45" t="s">
        <v>18</v>
      </c>
      <c r="P60" s="45" t="s">
        <v>18</v>
      </c>
      <c r="Q60" s="45" t="s">
        <v>18</v>
      </c>
      <c r="R60" s="45" t="s">
        <v>18</v>
      </c>
      <c r="S60" s="45" t="s">
        <v>18</v>
      </c>
      <c r="T60" s="45" t="s">
        <v>18</v>
      </c>
      <c r="U60" s="45"/>
      <c r="V60" s="45" t="s">
        <v>18</v>
      </c>
      <c r="W60" s="45" t="s">
        <v>18</v>
      </c>
      <c r="X60" s="45" t="s">
        <v>376</v>
      </c>
      <c r="Y60" s="45" t="s">
        <v>18</v>
      </c>
      <c r="Z60" s="45" t="s">
        <v>18</v>
      </c>
      <c r="AA60" s="45" t="s">
        <v>18</v>
      </c>
      <c r="AB60" s="45"/>
      <c r="AC60" s="45" t="s">
        <v>18</v>
      </c>
      <c r="AD60" s="45" t="s">
        <v>18</v>
      </c>
      <c r="AE60" s="45" t="s">
        <v>18</v>
      </c>
      <c r="AF60" s="45" t="s">
        <v>18</v>
      </c>
      <c r="AG60" s="45" t="s">
        <v>18</v>
      </c>
      <c r="AH60" s="45" t="s">
        <v>18</v>
      </c>
      <c r="AI60" s="45"/>
      <c r="AJ60" s="45" t="s">
        <v>18</v>
      </c>
      <c r="AK60" s="45" t="s">
        <v>18</v>
      </c>
      <c r="AL60" s="45" t="s">
        <v>18</v>
      </c>
      <c r="AM60" s="45" t="s">
        <v>18</v>
      </c>
      <c r="AN60" s="46">
        <v>27</v>
      </c>
      <c r="AO60" s="47">
        <f t="shared" si="9"/>
        <v>26</v>
      </c>
      <c r="AP60" s="47">
        <f t="shared" si="10"/>
        <v>1</v>
      </c>
      <c r="AQ60" s="47">
        <f t="shared" si="11"/>
        <v>0</v>
      </c>
      <c r="AR60" s="47">
        <f t="shared" si="12"/>
        <v>0</v>
      </c>
      <c r="AS60" s="47">
        <f t="shared" si="13"/>
        <v>0</v>
      </c>
      <c r="AT60" s="47">
        <f t="shared" si="14"/>
        <v>0</v>
      </c>
      <c r="AU60" s="47"/>
      <c r="AV60" s="48"/>
      <c r="AW60" s="50">
        <f t="shared" si="7"/>
        <v>1000000</v>
      </c>
      <c r="AX60" s="52">
        <f t="shared" si="8"/>
        <v>500000</v>
      </c>
      <c r="AY60" s="52"/>
      <c r="AZ60" s="52"/>
      <c r="BA60" s="52"/>
      <c r="BB60" s="52">
        <v>-40000</v>
      </c>
      <c r="BC60" s="56">
        <v>8</v>
      </c>
      <c r="BD60" s="56">
        <v>2026</v>
      </c>
      <c r="BE60" s="56"/>
      <c r="BF60" s="20">
        <v>1000000</v>
      </c>
    </row>
    <row r="61" spans="1:58" ht="29.1" customHeight="1">
      <c r="A61" s="42">
        <v>54</v>
      </c>
      <c r="B61" s="42" t="s">
        <v>274</v>
      </c>
      <c r="C61" s="43"/>
      <c r="D61" s="61" t="s">
        <v>279</v>
      </c>
      <c r="E61" s="43" t="s">
        <v>74</v>
      </c>
      <c r="F61" s="44" t="s">
        <v>197</v>
      </c>
      <c r="G61" s="65" t="s">
        <v>249</v>
      </c>
      <c r="H61" s="44" t="str">
        <f t="shared" si="6"/>
        <v>LEP181C46254</v>
      </c>
      <c r="I61" s="45" t="s">
        <v>18</v>
      </c>
      <c r="J61" s="45" t="s">
        <v>18</v>
      </c>
      <c r="K61" s="45" t="s">
        <v>18</v>
      </c>
      <c r="L61" s="45" t="s">
        <v>18</v>
      </c>
      <c r="M61" s="45" t="s">
        <v>18</v>
      </c>
      <c r="N61" s="45"/>
      <c r="O61" s="45" t="s">
        <v>459</v>
      </c>
      <c r="P61" s="45" t="s">
        <v>18</v>
      </c>
      <c r="Q61" s="45" t="s">
        <v>18</v>
      </c>
      <c r="R61" s="45" t="s">
        <v>18</v>
      </c>
      <c r="S61" s="45" t="s">
        <v>18</v>
      </c>
      <c r="T61" s="45" t="s">
        <v>18</v>
      </c>
      <c r="U61" s="45"/>
      <c r="V61" s="45" t="s">
        <v>18</v>
      </c>
      <c r="W61" s="45" t="s">
        <v>18</v>
      </c>
      <c r="X61" s="45" t="s">
        <v>18</v>
      </c>
      <c r="Y61" s="45" t="s">
        <v>18</v>
      </c>
      <c r="Z61" s="45" t="s">
        <v>18</v>
      </c>
      <c r="AA61" s="45" t="s">
        <v>18</v>
      </c>
      <c r="AB61" s="45"/>
      <c r="AC61" s="45" t="s">
        <v>18</v>
      </c>
      <c r="AD61" s="45" t="s">
        <v>18</v>
      </c>
      <c r="AE61" s="45" t="s">
        <v>18</v>
      </c>
      <c r="AF61" s="45" t="s">
        <v>18</v>
      </c>
      <c r="AG61" s="45" t="s">
        <v>18</v>
      </c>
      <c r="AH61" s="45" t="s">
        <v>18</v>
      </c>
      <c r="AI61" s="45"/>
      <c r="AJ61" s="45" t="s">
        <v>18</v>
      </c>
      <c r="AK61" s="45" t="s">
        <v>18</v>
      </c>
      <c r="AL61" s="45" t="s">
        <v>18</v>
      </c>
      <c r="AM61" s="45" t="s">
        <v>18</v>
      </c>
      <c r="AN61" s="46">
        <v>27</v>
      </c>
      <c r="AO61" s="47">
        <f t="shared" si="9"/>
        <v>26</v>
      </c>
      <c r="AP61" s="47">
        <f t="shared" si="10"/>
        <v>0</v>
      </c>
      <c r="AQ61" s="47">
        <f t="shared" si="11"/>
        <v>1</v>
      </c>
      <c r="AR61" s="47">
        <f t="shared" si="12"/>
        <v>0</v>
      </c>
      <c r="AS61" s="47">
        <f t="shared" si="13"/>
        <v>0</v>
      </c>
      <c r="AT61" s="47">
        <f t="shared" si="14"/>
        <v>0</v>
      </c>
      <c r="AU61" s="47"/>
      <c r="AV61" s="48"/>
      <c r="AW61" s="50">
        <f t="shared" si="7"/>
        <v>1024842</v>
      </c>
      <c r="AX61" s="50">
        <f t="shared" si="8"/>
        <v>500000</v>
      </c>
      <c r="AY61" s="50"/>
      <c r="AZ61" s="50"/>
      <c r="BA61" s="50"/>
      <c r="BB61" s="50">
        <v>-40000</v>
      </c>
      <c r="BC61" s="43">
        <v>8</v>
      </c>
      <c r="BD61" s="43">
        <v>2026</v>
      </c>
      <c r="BE61" s="43"/>
      <c r="BF61" s="20">
        <v>1064259</v>
      </c>
    </row>
    <row r="62" spans="1:58" ht="29.1" customHeight="1">
      <c r="A62" s="42">
        <v>55</v>
      </c>
      <c r="B62" s="42" t="s">
        <v>275</v>
      </c>
      <c r="C62" s="43"/>
      <c r="D62" s="61" t="s">
        <v>280</v>
      </c>
      <c r="E62" s="43" t="s">
        <v>74</v>
      </c>
      <c r="F62" s="44" t="s">
        <v>197</v>
      </c>
      <c r="G62" s="65" t="s">
        <v>281</v>
      </c>
      <c r="H62" s="44" t="str">
        <f t="shared" si="6"/>
        <v>LEP181D46254</v>
      </c>
      <c r="I62" s="45" t="s">
        <v>18</v>
      </c>
      <c r="J62" s="45" t="s">
        <v>18</v>
      </c>
      <c r="K62" s="45" t="s">
        <v>18</v>
      </c>
      <c r="L62" s="45" t="s">
        <v>18</v>
      </c>
      <c r="M62" s="45" t="s">
        <v>18</v>
      </c>
      <c r="N62" s="45"/>
      <c r="O62" s="45" t="s">
        <v>18</v>
      </c>
      <c r="P62" s="45" t="s">
        <v>18</v>
      </c>
      <c r="Q62" s="45" t="s">
        <v>18</v>
      </c>
      <c r="R62" s="45" t="s">
        <v>18</v>
      </c>
      <c r="S62" s="45" t="s">
        <v>18</v>
      </c>
      <c r="T62" s="45" t="s">
        <v>515</v>
      </c>
      <c r="U62" s="45"/>
      <c r="V62" s="45" t="s">
        <v>515</v>
      </c>
      <c r="W62" s="45" t="s">
        <v>515</v>
      </c>
      <c r="X62" s="45" t="s">
        <v>515</v>
      </c>
      <c r="Y62" s="45" t="s">
        <v>515</v>
      </c>
      <c r="Z62" s="45" t="s">
        <v>515</v>
      </c>
      <c r="AA62" s="45" t="s">
        <v>515</v>
      </c>
      <c r="AB62" s="45"/>
      <c r="AC62" s="45" t="s">
        <v>515</v>
      </c>
      <c r="AD62" s="45" t="s">
        <v>515</v>
      </c>
      <c r="AE62" s="45" t="s">
        <v>515</v>
      </c>
      <c r="AF62" s="45" t="s">
        <v>515</v>
      </c>
      <c r="AG62" s="45" t="s">
        <v>515</v>
      </c>
      <c r="AH62" s="45" t="s">
        <v>515</v>
      </c>
      <c r="AI62" s="45"/>
      <c r="AJ62" s="45" t="s">
        <v>515</v>
      </c>
      <c r="AK62" s="45" t="s">
        <v>515</v>
      </c>
      <c r="AL62" s="45" t="s">
        <v>515</v>
      </c>
      <c r="AM62" s="45" t="s">
        <v>515</v>
      </c>
      <c r="AN62" s="46">
        <v>27</v>
      </c>
      <c r="AO62" s="47">
        <f t="shared" si="9"/>
        <v>10</v>
      </c>
      <c r="AP62" s="47">
        <f t="shared" si="10"/>
        <v>0</v>
      </c>
      <c r="AQ62" s="47">
        <f t="shared" si="11"/>
        <v>0</v>
      </c>
      <c r="AR62" s="47">
        <f t="shared" si="12"/>
        <v>0</v>
      </c>
      <c r="AS62" s="47">
        <f t="shared" si="13"/>
        <v>0</v>
      </c>
      <c r="AT62" s="47">
        <f t="shared" si="14"/>
        <v>17</v>
      </c>
      <c r="AU62" s="47"/>
      <c r="AV62" s="48"/>
      <c r="AW62" s="50">
        <f t="shared" si="7"/>
        <v>394170</v>
      </c>
      <c r="AX62" s="50">
        <f t="shared" si="8"/>
        <v>500000</v>
      </c>
      <c r="AY62" s="50"/>
      <c r="AZ62" s="50"/>
      <c r="BA62" s="50"/>
      <c r="BB62" s="50">
        <v>-40000</v>
      </c>
      <c r="BC62" s="43">
        <v>8</v>
      </c>
      <c r="BD62" s="43">
        <v>2026</v>
      </c>
      <c r="BE62" s="43"/>
      <c r="BF62" s="20">
        <v>1064259</v>
      </c>
    </row>
    <row r="63" spans="1:58" ht="29.1" customHeight="1">
      <c r="A63" s="42">
        <v>56</v>
      </c>
      <c r="B63" s="42" t="s">
        <v>276</v>
      </c>
      <c r="C63" s="43"/>
      <c r="D63" s="61" t="s">
        <v>282</v>
      </c>
      <c r="E63" s="43" t="s">
        <v>74</v>
      </c>
      <c r="F63" s="44" t="s">
        <v>197</v>
      </c>
      <c r="G63" s="65" t="s">
        <v>281</v>
      </c>
      <c r="H63" s="44" t="str">
        <f t="shared" si="6"/>
        <v>LEP181F46254</v>
      </c>
      <c r="I63" s="45" t="s">
        <v>18</v>
      </c>
      <c r="J63" s="45" t="s">
        <v>18</v>
      </c>
      <c r="K63" s="45" t="s">
        <v>18</v>
      </c>
      <c r="L63" s="45" t="s">
        <v>18</v>
      </c>
      <c r="M63" s="45" t="s">
        <v>18</v>
      </c>
      <c r="N63" s="45"/>
      <c r="O63" s="45" t="s">
        <v>18</v>
      </c>
      <c r="P63" s="45" t="s">
        <v>18</v>
      </c>
      <c r="Q63" s="45" t="s">
        <v>376</v>
      </c>
      <c r="R63" s="45" t="s">
        <v>459</v>
      </c>
      <c r="S63" s="45" t="s">
        <v>18</v>
      </c>
      <c r="T63" s="45" t="s">
        <v>18</v>
      </c>
      <c r="U63" s="45"/>
      <c r="V63" s="45" t="s">
        <v>18</v>
      </c>
      <c r="W63" s="45" t="s">
        <v>18</v>
      </c>
      <c r="X63" s="45" t="s">
        <v>18</v>
      </c>
      <c r="Y63" s="45" t="s">
        <v>459</v>
      </c>
      <c r="Z63" s="45" t="s">
        <v>18</v>
      </c>
      <c r="AA63" s="45" t="s">
        <v>18</v>
      </c>
      <c r="AB63" s="45"/>
      <c r="AC63" s="45" t="s">
        <v>18</v>
      </c>
      <c r="AD63" s="45" t="s">
        <v>18</v>
      </c>
      <c r="AE63" s="45" t="s">
        <v>18</v>
      </c>
      <c r="AF63" s="45" t="s">
        <v>18</v>
      </c>
      <c r="AG63" s="45" t="s">
        <v>18</v>
      </c>
      <c r="AH63" s="45" t="s">
        <v>18</v>
      </c>
      <c r="AI63" s="45"/>
      <c r="AJ63" s="45" t="s">
        <v>18</v>
      </c>
      <c r="AK63" s="45" t="s">
        <v>18</v>
      </c>
      <c r="AL63" s="45" t="s">
        <v>18</v>
      </c>
      <c r="AM63" s="45" t="s">
        <v>18</v>
      </c>
      <c r="AN63" s="46">
        <v>27</v>
      </c>
      <c r="AO63" s="47">
        <f t="shared" si="9"/>
        <v>24</v>
      </c>
      <c r="AP63" s="47">
        <f t="shared" si="10"/>
        <v>1</v>
      </c>
      <c r="AQ63" s="47">
        <f t="shared" si="11"/>
        <v>2</v>
      </c>
      <c r="AR63" s="47">
        <f t="shared" si="12"/>
        <v>0</v>
      </c>
      <c r="AS63" s="47">
        <f t="shared" si="13"/>
        <v>0</v>
      </c>
      <c r="AT63" s="47">
        <f t="shared" si="14"/>
        <v>0</v>
      </c>
      <c r="AU63" s="47"/>
      <c r="AV63" s="48"/>
      <c r="AW63" s="50">
        <f t="shared" si="7"/>
        <v>966156.48148148146</v>
      </c>
      <c r="AX63" s="50">
        <f t="shared" si="8"/>
        <v>250000</v>
      </c>
      <c r="AY63" s="50"/>
      <c r="AZ63" s="50"/>
      <c r="BA63" s="50"/>
      <c r="BB63" s="50">
        <v>-40000</v>
      </c>
      <c r="BC63" s="43">
        <v>8</v>
      </c>
      <c r="BD63" s="43">
        <v>2026</v>
      </c>
      <c r="BE63" s="43"/>
      <c r="BF63" s="20">
        <v>1043449</v>
      </c>
    </row>
    <row r="64" spans="1:58" ht="29.1" customHeight="1">
      <c r="A64" s="42">
        <v>57</v>
      </c>
      <c r="B64" s="42" t="s">
        <v>298</v>
      </c>
      <c r="C64" s="56"/>
      <c r="D64" s="66" t="s">
        <v>286</v>
      </c>
      <c r="E64" s="56" t="s">
        <v>74</v>
      </c>
      <c r="F64" s="66" t="s">
        <v>197</v>
      </c>
      <c r="G64" s="67" t="s">
        <v>291</v>
      </c>
      <c r="H64" s="44" t="str">
        <f t="shared" si="6"/>
        <v>LEP186A46254</v>
      </c>
      <c r="I64" s="45" t="s">
        <v>18</v>
      </c>
      <c r="J64" s="45" t="s">
        <v>18</v>
      </c>
      <c r="K64" s="45" t="s">
        <v>18</v>
      </c>
      <c r="L64" s="45" t="s">
        <v>18</v>
      </c>
      <c r="M64" s="45" t="s">
        <v>18</v>
      </c>
      <c r="N64" s="45"/>
      <c r="O64" s="45" t="s">
        <v>18</v>
      </c>
      <c r="P64" s="45" t="s">
        <v>18</v>
      </c>
      <c r="Q64" s="45" t="s">
        <v>18</v>
      </c>
      <c r="R64" s="45" t="s">
        <v>18</v>
      </c>
      <c r="S64" s="45" t="s">
        <v>18</v>
      </c>
      <c r="T64" s="45" t="s">
        <v>18</v>
      </c>
      <c r="U64" s="45"/>
      <c r="V64" s="45" t="s">
        <v>18</v>
      </c>
      <c r="W64" s="45" t="s">
        <v>18</v>
      </c>
      <c r="X64" s="45" t="s">
        <v>18</v>
      </c>
      <c r="Y64" s="45" t="s">
        <v>18</v>
      </c>
      <c r="Z64" s="45" t="s">
        <v>18</v>
      </c>
      <c r="AA64" s="45" t="s">
        <v>459</v>
      </c>
      <c r="AB64" s="45"/>
      <c r="AC64" s="45" t="s">
        <v>18</v>
      </c>
      <c r="AD64" s="45" t="s">
        <v>18</v>
      </c>
      <c r="AE64" s="45" t="s">
        <v>18</v>
      </c>
      <c r="AF64" s="45" t="s">
        <v>18</v>
      </c>
      <c r="AG64" s="45" t="s">
        <v>18</v>
      </c>
      <c r="AH64" s="45" t="s">
        <v>18</v>
      </c>
      <c r="AI64" s="45"/>
      <c r="AJ64" s="87" t="s">
        <v>459</v>
      </c>
      <c r="AK64" s="87" t="s">
        <v>459</v>
      </c>
      <c r="AL64" s="87" t="s">
        <v>459</v>
      </c>
      <c r="AM64" s="87" t="s">
        <v>459</v>
      </c>
      <c r="AN64" s="46">
        <v>27</v>
      </c>
      <c r="AO64" s="47">
        <f t="shared" si="9"/>
        <v>22</v>
      </c>
      <c r="AP64" s="47">
        <f t="shared" si="10"/>
        <v>0</v>
      </c>
      <c r="AQ64" s="47">
        <f t="shared" si="11"/>
        <v>5</v>
      </c>
      <c r="AR64" s="47">
        <f t="shared" si="12"/>
        <v>0</v>
      </c>
      <c r="AS64" s="47">
        <f t="shared" si="13"/>
        <v>0</v>
      </c>
      <c r="AT64" s="47">
        <f t="shared" si="14"/>
        <v>0</v>
      </c>
      <c r="AU64" s="47"/>
      <c r="AV64" s="48"/>
      <c r="AW64" s="50">
        <f t="shared" si="7"/>
        <v>867174</v>
      </c>
      <c r="AX64" s="50">
        <f t="shared" si="8"/>
        <v>0</v>
      </c>
      <c r="AY64" s="52"/>
      <c r="AZ64" s="52"/>
      <c r="BA64" s="50"/>
      <c r="BB64" s="52">
        <v>-40000</v>
      </c>
      <c r="BC64" s="43">
        <v>8</v>
      </c>
      <c r="BD64" s="43">
        <v>2026</v>
      </c>
      <c r="BE64" s="56"/>
      <c r="BF64" s="20">
        <v>1064259</v>
      </c>
    </row>
    <row r="65" spans="1:58" ht="29.1" customHeight="1">
      <c r="A65" s="42">
        <v>58</v>
      </c>
      <c r="B65" s="42" t="s">
        <v>294</v>
      </c>
      <c r="C65" s="56"/>
      <c r="D65" s="66" t="s">
        <v>288</v>
      </c>
      <c r="E65" s="56" t="s">
        <v>74</v>
      </c>
      <c r="F65" s="66" t="s">
        <v>197</v>
      </c>
      <c r="G65" s="67" t="s">
        <v>297</v>
      </c>
      <c r="H65" s="44" t="str">
        <f t="shared" si="6"/>
        <v>LEP18946254</v>
      </c>
      <c r="I65" s="45" t="s">
        <v>18</v>
      </c>
      <c r="J65" s="45" t="s">
        <v>18</v>
      </c>
      <c r="K65" s="45" t="s">
        <v>18</v>
      </c>
      <c r="L65" s="45" t="s">
        <v>18</v>
      </c>
      <c r="M65" s="45" t="s">
        <v>18</v>
      </c>
      <c r="N65" s="45"/>
      <c r="O65" s="45" t="s">
        <v>18</v>
      </c>
      <c r="P65" s="45" t="s">
        <v>18</v>
      </c>
      <c r="Q65" s="45" t="s">
        <v>18</v>
      </c>
      <c r="R65" s="45" t="s">
        <v>18</v>
      </c>
      <c r="S65" s="45" t="s">
        <v>18</v>
      </c>
      <c r="T65" s="45" t="s">
        <v>18</v>
      </c>
      <c r="U65" s="45"/>
      <c r="V65" s="45" t="s">
        <v>18</v>
      </c>
      <c r="W65" s="45" t="s">
        <v>18</v>
      </c>
      <c r="X65" s="45" t="s">
        <v>18</v>
      </c>
      <c r="Y65" s="45" t="s">
        <v>18</v>
      </c>
      <c r="Z65" s="45" t="s">
        <v>18</v>
      </c>
      <c r="AA65" s="45" t="s">
        <v>18</v>
      </c>
      <c r="AB65" s="45"/>
      <c r="AC65" s="45" t="s">
        <v>18</v>
      </c>
      <c r="AD65" s="45" t="s">
        <v>18</v>
      </c>
      <c r="AE65" s="45" t="s">
        <v>18</v>
      </c>
      <c r="AF65" s="45" t="s">
        <v>18</v>
      </c>
      <c r="AG65" s="45" t="s">
        <v>18</v>
      </c>
      <c r="AH65" s="45" t="s">
        <v>18</v>
      </c>
      <c r="AI65" s="45"/>
      <c r="AJ65" s="45" t="s">
        <v>18</v>
      </c>
      <c r="AK65" s="45" t="s">
        <v>18</v>
      </c>
      <c r="AL65" s="45" t="s">
        <v>18</v>
      </c>
      <c r="AM65" s="45" t="s">
        <v>18</v>
      </c>
      <c r="AN65" s="46">
        <v>27</v>
      </c>
      <c r="AO65" s="47">
        <f t="shared" si="9"/>
        <v>27</v>
      </c>
      <c r="AP65" s="47">
        <f t="shared" si="10"/>
        <v>0</v>
      </c>
      <c r="AQ65" s="47">
        <f t="shared" si="11"/>
        <v>0</v>
      </c>
      <c r="AR65" s="47">
        <f t="shared" si="12"/>
        <v>0</v>
      </c>
      <c r="AS65" s="47">
        <f t="shared" si="13"/>
        <v>0</v>
      </c>
      <c r="AT65" s="47">
        <f t="shared" si="14"/>
        <v>0</v>
      </c>
      <c r="AU65" s="47"/>
      <c r="AV65" s="48"/>
      <c r="AW65" s="50">
        <f t="shared" si="7"/>
        <v>1000000</v>
      </c>
      <c r="AX65" s="50">
        <f t="shared" si="8"/>
        <v>500000</v>
      </c>
      <c r="AY65" s="52">
        <f>13000*AO65</f>
        <v>351000</v>
      </c>
      <c r="AZ65" s="52"/>
      <c r="BA65" s="50"/>
      <c r="BB65" s="52">
        <v>-40000</v>
      </c>
      <c r="BC65" s="43">
        <v>8</v>
      </c>
      <c r="BD65" s="43">
        <v>2026</v>
      </c>
      <c r="BE65" s="56"/>
      <c r="BF65" s="20">
        <v>1000000</v>
      </c>
    </row>
    <row r="66" spans="1:58" ht="29.1" customHeight="1">
      <c r="A66" s="42">
        <v>59</v>
      </c>
      <c r="B66" s="42" t="s">
        <v>295</v>
      </c>
      <c r="C66" s="56"/>
      <c r="D66" s="66" t="s">
        <v>290</v>
      </c>
      <c r="E66" s="56" t="s">
        <v>74</v>
      </c>
      <c r="F66" s="66" t="s">
        <v>197</v>
      </c>
      <c r="G66" s="67" t="s">
        <v>297</v>
      </c>
      <c r="H66" s="44" t="str">
        <f t="shared" si="6"/>
        <v>LEP19046254</v>
      </c>
      <c r="I66" s="45" t="s">
        <v>18</v>
      </c>
      <c r="J66" s="45" t="s">
        <v>18</v>
      </c>
      <c r="K66" s="45" t="s">
        <v>18</v>
      </c>
      <c r="L66" s="45" t="s">
        <v>18</v>
      </c>
      <c r="M66" s="45" t="s">
        <v>18</v>
      </c>
      <c r="N66" s="45"/>
      <c r="O66" s="45" t="s">
        <v>18</v>
      </c>
      <c r="P66" s="45" t="s">
        <v>18</v>
      </c>
      <c r="Q66" s="45" t="s">
        <v>18</v>
      </c>
      <c r="R66" s="45" t="s">
        <v>18</v>
      </c>
      <c r="S66" s="45" t="s">
        <v>18</v>
      </c>
      <c r="T66" s="45" t="s">
        <v>18</v>
      </c>
      <c r="U66" s="45"/>
      <c r="V66" s="45" t="s">
        <v>18</v>
      </c>
      <c r="W66" s="45" t="s">
        <v>376</v>
      </c>
      <c r="X66" s="45" t="s">
        <v>376</v>
      </c>
      <c r="Y66" s="45" t="s">
        <v>376</v>
      </c>
      <c r="Z66" s="45" t="s">
        <v>459</v>
      </c>
      <c r="AA66" s="45" t="s">
        <v>459</v>
      </c>
      <c r="AB66" s="45"/>
      <c r="AC66" s="45" t="s">
        <v>18</v>
      </c>
      <c r="AD66" s="45" t="s">
        <v>18</v>
      </c>
      <c r="AE66" s="45" t="s">
        <v>18</v>
      </c>
      <c r="AF66" s="45" t="s">
        <v>18</v>
      </c>
      <c r="AG66" s="45" t="s">
        <v>18</v>
      </c>
      <c r="AH66" s="45" t="s">
        <v>18</v>
      </c>
      <c r="AI66" s="45"/>
      <c r="AJ66" s="45" t="s">
        <v>18</v>
      </c>
      <c r="AK66" s="45" t="s">
        <v>18</v>
      </c>
      <c r="AL66" s="45" t="s">
        <v>18</v>
      </c>
      <c r="AM66" s="45" t="s">
        <v>18</v>
      </c>
      <c r="AN66" s="46">
        <v>27</v>
      </c>
      <c r="AO66" s="47">
        <f t="shared" si="9"/>
        <v>22</v>
      </c>
      <c r="AP66" s="47">
        <f t="shared" si="10"/>
        <v>3</v>
      </c>
      <c r="AQ66" s="47">
        <f t="shared" si="11"/>
        <v>2</v>
      </c>
      <c r="AR66" s="47">
        <f t="shared" si="12"/>
        <v>0</v>
      </c>
      <c r="AS66" s="47">
        <f t="shared" si="13"/>
        <v>0</v>
      </c>
      <c r="AT66" s="47">
        <f t="shared" si="14"/>
        <v>0</v>
      </c>
      <c r="AU66" s="47"/>
      <c r="AV66" s="48"/>
      <c r="AW66" s="50">
        <f t="shared" si="7"/>
        <v>985425</v>
      </c>
      <c r="AX66" s="50">
        <f t="shared" si="8"/>
        <v>250000</v>
      </c>
      <c r="AY66" s="52"/>
      <c r="AZ66" s="52"/>
      <c r="BA66" s="50"/>
      <c r="BB66" s="50">
        <v>-40000</v>
      </c>
      <c r="BC66" s="43">
        <v>8</v>
      </c>
      <c r="BD66" s="43">
        <v>2026</v>
      </c>
      <c r="BE66" s="56"/>
      <c r="BF66" s="20">
        <v>1064259</v>
      </c>
    </row>
    <row r="67" spans="1:58" ht="29.1" customHeight="1">
      <c r="A67" s="42">
        <v>60</v>
      </c>
      <c r="B67" s="42" t="s">
        <v>296</v>
      </c>
      <c r="C67" s="56"/>
      <c r="D67" s="66" t="s">
        <v>289</v>
      </c>
      <c r="E67" s="56" t="s">
        <v>74</v>
      </c>
      <c r="F67" s="66" t="s">
        <v>197</v>
      </c>
      <c r="G67" s="67" t="s">
        <v>297</v>
      </c>
      <c r="H67" s="44" t="str">
        <f t="shared" si="6"/>
        <v>LEP19146254</v>
      </c>
      <c r="I67" s="45" t="s">
        <v>18</v>
      </c>
      <c r="J67" s="45" t="s">
        <v>376</v>
      </c>
      <c r="K67" s="45" t="s">
        <v>18</v>
      </c>
      <c r="L67" s="45" t="s">
        <v>18</v>
      </c>
      <c r="M67" s="45" t="s">
        <v>18</v>
      </c>
      <c r="N67" s="45"/>
      <c r="O67" s="45" t="s">
        <v>18</v>
      </c>
      <c r="P67" s="45" t="s">
        <v>18</v>
      </c>
      <c r="Q67" s="45" t="s">
        <v>18</v>
      </c>
      <c r="R67" s="45" t="s">
        <v>18</v>
      </c>
      <c r="S67" s="45" t="s">
        <v>18</v>
      </c>
      <c r="T67" s="45" t="s">
        <v>18</v>
      </c>
      <c r="U67" s="45"/>
      <c r="V67" s="45" t="s">
        <v>18</v>
      </c>
      <c r="W67" s="45" t="s">
        <v>18</v>
      </c>
      <c r="X67" s="45" t="s">
        <v>18</v>
      </c>
      <c r="Y67" s="45" t="s">
        <v>18</v>
      </c>
      <c r="Z67" s="45" t="s">
        <v>18</v>
      </c>
      <c r="AA67" s="45" t="s">
        <v>18</v>
      </c>
      <c r="AB67" s="45"/>
      <c r="AC67" s="45" t="s">
        <v>18</v>
      </c>
      <c r="AD67" s="45" t="s">
        <v>18</v>
      </c>
      <c r="AE67" s="45" t="s">
        <v>18</v>
      </c>
      <c r="AF67" s="45" t="s">
        <v>18</v>
      </c>
      <c r="AG67" s="45" t="s">
        <v>18</v>
      </c>
      <c r="AH67" s="45" t="s">
        <v>18</v>
      </c>
      <c r="AI67" s="45"/>
      <c r="AJ67" s="45" t="s">
        <v>18</v>
      </c>
      <c r="AK67" s="45" t="s">
        <v>18</v>
      </c>
      <c r="AL67" s="45" t="s">
        <v>18</v>
      </c>
      <c r="AM67" s="45" t="s">
        <v>18</v>
      </c>
      <c r="AN67" s="46">
        <v>27</v>
      </c>
      <c r="AO67" s="47">
        <f t="shared" si="9"/>
        <v>26</v>
      </c>
      <c r="AP67" s="47">
        <f t="shared" si="10"/>
        <v>1</v>
      </c>
      <c r="AQ67" s="47">
        <f t="shared" si="11"/>
        <v>0</v>
      </c>
      <c r="AR67" s="47">
        <f t="shared" si="12"/>
        <v>0</v>
      </c>
      <c r="AS67" s="47">
        <f t="shared" si="13"/>
        <v>0</v>
      </c>
      <c r="AT67" s="47">
        <f t="shared" si="14"/>
        <v>0</v>
      </c>
      <c r="AU67" s="47"/>
      <c r="AV67" s="48"/>
      <c r="AW67" s="50">
        <f t="shared" si="7"/>
        <v>1064259</v>
      </c>
      <c r="AX67" s="50">
        <f t="shared" si="8"/>
        <v>500000</v>
      </c>
      <c r="AY67" s="52"/>
      <c r="AZ67" s="52"/>
      <c r="BA67" s="50"/>
      <c r="BB67" s="52">
        <v>-40000</v>
      </c>
      <c r="BC67" s="43">
        <v>8</v>
      </c>
      <c r="BD67" s="43">
        <v>2026</v>
      </c>
      <c r="BE67" s="56"/>
      <c r="BF67" s="20">
        <v>1064259</v>
      </c>
    </row>
    <row r="68" spans="1:58" ht="29.1" customHeight="1">
      <c r="A68" s="42">
        <v>61</v>
      </c>
      <c r="B68" s="42" t="s">
        <v>313</v>
      </c>
      <c r="C68" s="56"/>
      <c r="D68" s="66" t="s">
        <v>314</v>
      </c>
      <c r="E68" s="56" t="s">
        <v>95</v>
      </c>
      <c r="F68" s="66" t="s">
        <v>105</v>
      </c>
      <c r="G68" s="67" t="s">
        <v>315</v>
      </c>
      <c r="H68" s="44" t="str">
        <f t="shared" si="6"/>
        <v>LEP194A46254</v>
      </c>
      <c r="I68" s="45" t="s">
        <v>18</v>
      </c>
      <c r="J68" s="45" t="s">
        <v>18</v>
      </c>
      <c r="K68" s="45" t="s">
        <v>18</v>
      </c>
      <c r="L68" s="45" t="s">
        <v>18</v>
      </c>
      <c r="M68" s="45" t="s">
        <v>18</v>
      </c>
      <c r="N68" s="45"/>
      <c r="O68" s="45" t="s">
        <v>18</v>
      </c>
      <c r="P68" s="45" t="s">
        <v>376</v>
      </c>
      <c r="Q68" s="45" t="s">
        <v>18</v>
      </c>
      <c r="R68" s="45" t="s">
        <v>18</v>
      </c>
      <c r="S68" s="45" t="s">
        <v>18</v>
      </c>
      <c r="T68" s="45" t="s">
        <v>18</v>
      </c>
      <c r="U68" s="45"/>
      <c r="V68" s="45" t="s">
        <v>18</v>
      </c>
      <c r="W68" s="45" t="s">
        <v>18</v>
      </c>
      <c r="X68" s="45" t="s">
        <v>18</v>
      </c>
      <c r="Y68" s="45" t="s">
        <v>18</v>
      </c>
      <c r="Z68" s="45" t="s">
        <v>18</v>
      </c>
      <c r="AA68" s="45" t="s">
        <v>18</v>
      </c>
      <c r="AB68" s="45"/>
      <c r="AC68" s="45" t="s">
        <v>18</v>
      </c>
      <c r="AD68" s="45" t="s">
        <v>18</v>
      </c>
      <c r="AE68" s="45" t="s">
        <v>18</v>
      </c>
      <c r="AF68" s="45" t="s">
        <v>18</v>
      </c>
      <c r="AG68" s="45" t="s">
        <v>18</v>
      </c>
      <c r="AH68" s="45" t="s">
        <v>18</v>
      </c>
      <c r="AI68" s="45"/>
      <c r="AJ68" s="45" t="s">
        <v>18</v>
      </c>
      <c r="AK68" s="45" t="s">
        <v>18</v>
      </c>
      <c r="AL68" s="45" t="s">
        <v>18</v>
      </c>
      <c r="AM68" s="45" t="s">
        <v>18</v>
      </c>
      <c r="AN68" s="46">
        <v>27</v>
      </c>
      <c r="AO68" s="47">
        <f t="shared" si="9"/>
        <v>26</v>
      </c>
      <c r="AP68" s="47">
        <f t="shared" si="10"/>
        <v>1</v>
      </c>
      <c r="AQ68" s="47">
        <f t="shared" si="11"/>
        <v>0</v>
      </c>
      <c r="AR68" s="47">
        <f t="shared" si="12"/>
        <v>0</v>
      </c>
      <c r="AS68" s="47">
        <f t="shared" si="13"/>
        <v>0</v>
      </c>
      <c r="AT68" s="47">
        <f t="shared" si="14"/>
        <v>0</v>
      </c>
      <c r="AU68" s="47"/>
      <c r="AV68" s="48"/>
      <c r="AW68" s="50">
        <f t="shared" si="7"/>
        <v>1000000</v>
      </c>
      <c r="AX68" s="52">
        <f t="shared" si="8"/>
        <v>500000</v>
      </c>
      <c r="AY68" s="52"/>
      <c r="AZ68" s="52"/>
      <c r="BA68" s="52"/>
      <c r="BB68" s="52">
        <v>-40000</v>
      </c>
      <c r="BC68" s="56">
        <v>8</v>
      </c>
      <c r="BD68" s="56">
        <v>2026</v>
      </c>
      <c r="BE68" s="56"/>
      <c r="BF68" s="20">
        <v>1000000</v>
      </c>
    </row>
    <row r="69" spans="1:58" ht="29.1" customHeight="1">
      <c r="A69" s="42">
        <v>62</v>
      </c>
      <c r="B69" s="42" t="s">
        <v>316</v>
      </c>
      <c r="C69" s="56"/>
      <c r="D69" s="66" t="s">
        <v>317</v>
      </c>
      <c r="E69" s="56" t="s">
        <v>78</v>
      </c>
      <c r="F69" s="66" t="s">
        <v>318</v>
      </c>
      <c r="G69" s="67" t="s">
        <v>319</v>
      </c>
      <c r="H69" s="44" t="str">
        <f t="shared" si="6"/>
        <v>LEP19846254</v>
      </c>
      <c r="I69" s="45" t="s">
        <v>18</v>
      </c>
      <c r="J69" s="45" t="s">
        <v>18</v>
      </c>
      <c r="K69" s="45" t="s">
        <v>18</v>
      </c>
      <c r="L69" s="45" t="s">
        <v>18</v>
      </c>
      <c r="M69" s="45">
        <v>0</v>
      </c>
      <c r="N69" s="45"/>
      <c r="O69" s="45" t="s">
        <v>18</v>
      </c>
      <c r="P69" s="45" t="s">
        <v>18</v>
      </c>
      <c r="Q69" s="45" t="s">
        <v>18</v>
      </c>
      <c r="R69" s="45" t="s">
        <v>18</v>
      </c>
      <c r="S69" s="45" t="s">
        <v>18</v>
      </c>
      <c r="T69" s="45"/>
      <c r="U69" s="45"/>
      <c r="V69" s="45" t="s">
        <v>376</v>
      </c>
      <c r="W69" s="45" t="s">
        <v>18</v>
      </c>
      <c r="X69" s="45" t="s">
        <v>18</v>
      </c>
      <c r="Y69" s="45" t="s">
        <v>18</v>
      </c>
      <c r="Z69" s="45" t="s">
        <v>18</v>
      </c>
      <c r="AA69" s="45"/>
      <c r="AB69" s="45"/>
      <c r="AC69" s="45" t="s">
        <v>18</v>
      </c>
      <c r="AD69" s="45" t="s">
        <v>376</v>
      </c>
      <c r="AE69" s="45" t="s">
        <v>18</v>
      </c>
      <c r="AF69" s="45" t="s">
        <v>376</v>
      </c>
      <c r="AG69" s="45" t="s">
        <v>18</v>
      </c>
      <c r="AH69" s="45"/>
      <c r="AI69" s="45"/>
      <c r="AJ69" s="45" t="s">
        <v>18</v>
      </c>
      <c r="AK69" s="45" t="s">
        <v>18</v>
      </c>
      <c r="AL69" s="45" t="s">
        <v>18</v>
      </c>
      <c r="AM69" s="45" t="s">
        <v>18</v>
      </c>
      <c r="AN69" s="46">
        <v>23</v>
      </c>
      <c r="AO69" s="47">
        <f t="shared" si="9"/>
        <v>20</v>
      </c>
      <c r="AP69" s="47">
        <f t="shared" si="10"/>
        <v>3</v>
      </c>
      <c r="AQ69" s="47">
        <f t="shared" si="11"/>
        <v>0</v>
      </c>
      <c r="AR69" s="47">
        <f t="shared" si="12"/>
        <v>0</v>
      </c>
      <c r="AS69" s="47">
        <f t="shared" si="13"/>
        <v>0</v>
      </c>
      <c r="AT69" s="47">
        <f t="shared" si="14"/>
        <v>0</v>
      </c>
      <c r="AU69" s="47"/>
      <c r="AV69" s="48"/>
      <c r="AW69" s="50">
        <f t="shared" si="7"/>
        <v>0</v>
      </c>
      <c r="AX69" s="52"/>
      <c r="AY69" s="52"/>
      <c r="AZ69" s="52"/>
      <c r="BA69" s="84"/>
      <c r="BB69" s="52">
        <v>-40000</v>
      </c>
      <c r="BC69" s="43">
        <v>8</v>
      </c>
      <c r="BD69" s="43">
        <v>2026</v>
      </c>
      <c r="BE69" s="56"/>
      <c r="BF69" s="20">
        <v>0</v>
      </c>
    </row>
    <row r="70" spans="1:58" ht="29.1" customHeight="1">
      <c r="A70" s="42">
        <v>63</v>
      </c>
      <c r="B70" s="42" t="s">
        <v>322</v>
      </c>
      <c r="C70" s="56"/>
      <c r="D70" s="66" t="s">
        <v>323</v>
      </c>
      <c r="E70" s="56" t="s">
        <v>78</v>
      </c>
      <c r="F70" s="66" t="s">
        <v>324</v>
      </c>
      <c r="G70" s="67" t="s">
        <v>325</v>
      </c>
      <c r="H70" s="44" t="str">
        <f t="shared" si="6"/>
        <v>LEP20246254</v>
      </c>
      <c r="I70" s="45" t="s">
        <v>18</v>
      </c>
      <c r="J70" s="45" t="s">
        <v>18</v>
      </c>
      <c r="K70" s="45" t="s">
        <v>18</v>
      </c>
      <c r="L70" s="45" t="s">
        <v>18</v>
      </c>
      <c r="M70" s="45">
        <v>0</v>
      </c>
      <c r="N70" s="45"/>
      <c r="O70" s="45" t="s">
        <v>18</v>
      </c>
      <c r="P70" s="45" t="s">
        <v>18</v>
      </c>
      <c r="Q70" s="45" t="s">
        <v>18</v>
      </c>
      <c r="R70" s="45" t="s">
        <v>18</v>
      </c>
      <c r="S70" s="45" t="s">
        <v>18</v>
      </c>
      <c r="T70" s="45"/>
      <c r="U70" s="45"/>
      <c r="V70" s="45" t="s">
        <v>18</v>
      </c>
      <c r="W70" s="45" t="s">
        <v>18</v>
      </c>
      <c r="X70" s="45" t="s">
        <v>18</v>
      </c>
      <c r="Y70" s="45" t="s">
        <v>18</v>
      </c>
      <c r="Z70" s="45" t="s">
        <v>18</v>
      </c>
      <c r="AA70" s="45"/>
      <c r="AB70" s="45"/>
      <c r="AC70" s="45" t="s">
        <v>18</v>
      </c>
      <c r="AD70" s="45" t="s">
        <v>18</v>
      </c>
      <c r="AE70" s="45" t="s">
        <v>18</v>
      </c>
      <c r="AF70" s="45" t="s">
        <v>18</v>
      </c>
      <c r="AG70" s="45" t="s">
        <v>18</v>
      </c>
      <c r="AH70" s="45"/>
      <c r="AI70" s="45"/>
      <c r="AJ70" s="45" t="s">
        <v>18</v>
      </c>
      <c r="AK70" s="45" t="s">
        <v>18</v>
      </c>
      <c r="AL70" s="45" t="s">
        <v>18</v>
      </c>
      <c r="AM70" s="45" t="s">
        <v>18</v>
      </c>
      <c r="AN70" s="46">
        <v>23</v>
      </c>
      <c r="AO70" s="47">
        <f t="shared" si="9"/>
        <v>23</v>
      </c>
      <c r="AP70" s="47">
        <f t="shared" si="10"/>
        <v>0</v>
      </c>
      <c r="AQ70" s="47">
        <f t="shared" si="11"/>
        <v>0</v>
      </c>
      <c r="AR70" s="47">
        <f t="shared" si="12"/>
        <v>0</v>
      </c>
      <c r="AS70" s="47">
        <f t="shared" si="13"/>
        <v>0</v>
      </c>
      <c r="AT70" s="47">
        <f t="shared" si="14"/>
        <v>0</v>
      </c>
      <c r="AU70" s="47"/>
      <c r="AV70" s="48"/>
      <c r="AW70" s="50">
        <f t="shared" si="7"/>
        <v>0</v>
      </c>
      <c r="AX70" s="52"/>
      <c r="AY70" s="52"/>
      <c r="AZ70" s="52"/>
      <c r="BA70" s="84"/>
      <c r="BB70" s="52">
        <v>-40000</v>
      </c>
      <c r="BC70" s="43">
        <v>8</v>
      </c>
      <c r="BD70" s="43">
        <v>2026</v>
      </c>
      <c r="BE70" s="56"/>
      <c r="BF70" s="20">
        <v>0</v>
      </c>
    </row>
    <row r="71" spans="1:58" ht="29.1" customHeight="1">
      <c r="A71" s="42">
        <v>64</v>
      </c>
      <c r="B71" s="42" t="s">
        <v>326</v>
      </c>
      <c r="C71" s="56"/>
      <c r="D71" s="66" t="s">
        <v>327</v>
      </c>
      <c r="E71" s="56" t="s">
        <v>74</v>
      </c>
      <c r="F71" s="66" t="s">
        <v>197</v>
      </c>
      <c r="G71" s="67" t="s">
        <v>328</v>
      </c>
      <c r="H71" s="44" t="str">
        <f t="shared" si="6"/>
        <v>LEP20346254</v>
      </c>
      <c r="I71" s="45" t="s">
        <v>18</v>
      </c>
      <c r="J71" s="45" t="s">
        <v>18</v>
      </c>
      <c r="K71" s="45" t="s">
        <v>18</v>
      </c>
      <c r="L71" s="45" t="s">
        <v>18</v>
      </c>
      <c r="M71" s="45" t="s">
        <v>18</v>
      </c>
      <c r="N71" s="45"/>
      <c r="O71" s="45" t="s">
        <v>18</v>
      </c>
      <c r="P71" s="45" t="s">
        <v>18</v>
      </c>
      <c r="Q71" s="45" t="s">
        <v>18</v>
      </c>
      <c r="R71" s="45" t="s">
        <v>18</v>
      </c>
      <c r="S71" s="45" t="s">
        <v>18</v>
      </c>
      <c r="T71" s="45" t="s">
        <v>18</v>
      </c>
      <c r="U71" s="45"/>
      <c r="V71" s="45" t="s">
        <v>18</v>
      </c>
      <c r="W71" s="45" t="s">
        <v>18</v>
      </c>
      <c r="X71" s="45" t="s">
        <v>18</v>
      </c>
      <c r="Y71" s="45" t="s">
        <v>18</v>
      </c>
      <c r="Z71" s="45" t="s">
        <v>18</v>
      </c>
      <c r="AA71" s="45" t="s">
        <v>18</v>
      </c>
      <c r="AB71" s="45"/>
      <c r="AC71" s="45" t="s">
        <v>18</v>
      </c>
      <c r="AD71" s="45" t="s">
        <v>18</v>
      </c>
      <c r="AE71" s="45" t="s">
        <v>18</v>
      </c>
      <c r="AF71" s="45" t="s">
        <v>18</v>
      </c>
      <c r="AG71" s="45" t="s">
        <v>18</v>
      </c>
      <c r="AH71" s="45" t="s">
        <v>18</v>
      </c>
      <c r="AI71" s="45"/>
      <c r="AJ71" s="45" t="s">
        <v>18</v>
      </c>
      <c r="AK71" s="45" t="s">
        <v>18</v>
      </c>
      <c r="AL71" s="45" t="s">
        <v>18</v>
      </c>
      <c r="AM71" s="45" t="s">
        <v>18</v>
      </c>
      <c r="AN71" s="46">
        <v>27</v>
      </c>
      <c r="AO71" s="47">
        <f t="shared" si="9"/>
        <v>27</v>
      </c>
      <c r="AP71" s="47">
        <f t="shared" si="10"/>
        <v>0</v>
      </c>
      <c r="AQ71" s="47">
        <f t="shared" si="11"/>
        <v>0</v>
      </c>
      <c r="AR71" s="47">
        <f t="shared" si="12"/>
        <v>0</v>
      </c>
      <c r="AS71" s="47">
        <f t="shared" si="13"/>
        <v>0</v>
      </c>
      <c r="AT71" s="47">
        <f t="shared" si="14"/>
        <v>0</v>
      </c>
      <c r="AU71" s="47"/>
      <c r="AV71" s="48"/>
      <c r="AW71" s="50">
        <f t="shared" si="7"/>
        <v>1000000</v>
      </c>
      <c r="AX71" s="50">
        <f>500000*(1-IF(COUNTIF(J71:AM71,"UL")&gt;=2,IF(COUNTIF(J71:AM71,"UL")&gt;=3,1,0.5),0))</f>
        <v>500000</v>
      </c>
      <c r="AY71" s="52">
        <f>13000*AO71</f>
        <v>351000</v>
      </c>
      <c r="AZ71" s="52"/>
      <c r="BA71" s="49"/>
      <c r="BB71" s="52">
        <v>-40000</v>
      </c>
      <c r="BC71" s="43">
        <v>8</v>
      </c>
      <c r="BD71" s="43">
        <v>2026</v>
      </c>
      <c r="BE71" s="56"/>
      <c r="BF71" s="20">
        <v>1000000</v>
      </c>
    </row>
    <row r="72" spans="1:58" ht="29.1" customHeight="1">
      <c r="A72" s="42">
        <v>65</v>
      </c>
      <c r="B72" s="42" t="s">
        <v>445</v>
      </c>
      <c r="C72" s="56"/>
      <c r="D72" s="66" t="s">
        <v>334</v>
      </c>
      <c r="E72" s="68" t="s">
        <v>74</v>
      </c>
      <c r="F72" s="66" t="s">
        <v>48</v>
      </c>
      <c r="G72" s="69" t="s">
        <v>448</v>
      </c>
      <c r="H72" s="44" t="str">
        <f t="shared" si="6"/>
        <v>LEP204D46254</v>
      </c>
      <c r="I72" s="45" t="s">
        <v>459</v>
      </c>
      <c r="J72" s="45" t="s">
        <v>459</v>
      </c>
      <c r="K72" s="45" t="s">
        <v>18</v>
      </c>
      <c r="L72" s="45" t="s">
        <v>18</v>
      </c>
      <c r="M72" s="45" t="s">
        <v>18</v>
      </c>
      <c r="N72" s="45"/>
      <c r="O72" s="45" t="s">
        <v>18</v>
      </c>
      <c r="P72" s="45" t="s">
        <v>459</v>
      </c>
      <c r="Q72" s="45" t="s">
        <v>18</v>
      </c>
      <c r="R72" s="45" t="s">
        <v>18</v>
      </c>
      <c r="S72" s="45" t="s">
        <v>18</v>
      </c>
      <c r="T72" s="45" t="s">
        <v>18</v>
      </c>
      <c r="U72" s="45"/>
      <c r="V72" s="45" t="s">
        <v>18</v>
      </c>
      <c r="W72" s="45" t="s">
        <v>18</v>
      </c>
      <c r="X72" s="45" t="s">
        <v>18</v>
      </c>
      <c r="Y72" s="45" t="s">
        <v>459</v>
      </c>
      <c r="Z72" s="45" t="s">
        <v>459</v>
      </c>
      <c r="AA72" s="45" t="s">
        <v>18</v>
      </c>
      <c r="AB72" s="45"/>
      <c r="AC72" s="45" t="s">
        <v>18</v>
      </c>
      <c r="AD72" s="45" t="s">
        <v>18</v>
      </c>
      <c r="AE72" s="45" t="s">
        <v>18</v>
      </c>
      <c r="AF72" s="45" t="s">
        <v>18</v>
      </c>
      <c r="AG72" s="45" t="s">
        <v>18</v>
      </c>
      <c r="AH72" s="45" t="s">
        <v>18</v>
      </c>
      <c r="AI72" s="45"/>
      <c r="AJ72" s="45" t="s">
        <v>18</v>
      </c>
      <c r="AK72" s="45" t="s">
        <v>18</v>
      </c>
      <c r="AL72" s="45" t="s">
        <v>18</v>
      </c>
      <c r="AM72" s="45" t="s">
        <v>18</v>
      </c>
      <c r="AN72" s="46">
        <v>27</v>
      </c>
      <c r="AO72" s="47">
        <f t="shared" ref="AO72:AO103" si="15">COUNTIF(I72:AM72,"W")+COUNTIF(I72:AM72,"W/2 AL/2")*0.5+COUNTIF(I72:AM72,"BT")+COUNTIF(I72:AM72,"N")++COUNTIF(I72:AM72,"W/2 UL/2")*0.5</f>
        <v>22</v>
      </c>
      <c r="AP72" s="47">
        <f t="shared" ref="AP72:AP103" si="16">COUNTIF(I72:AM72,"AL")+COUNTIF(I72:AM72,"W/2 AL/2")*0.5+COUNTIF(I72:AM72,"AL/2 UL/2")*0.5</f>
        <v>0</v>
      </c>
      <c r="AQ72" s="47">
        <f t="shared" ref="AQ72:AQ103" si="17">COUNTIF(I72:AM72,"UL")+COUNTIF(I72:AM72,"W/2 UL/2")*0.5+COUNTIF(I72:AM72,"AL/2 UL/2")*0.5</f>
        <v>5</v>
      </c>
      <c r="AR72" s="47">
        <f t="shared" ref="AR72:AR103" si="18">COUNTIF(I72:AM72,"PH")</f>
        <v>0</v>
      </c>
      <c r="AS72" s="47">
        <f t="shared" ref="AS72:AS103" si="19">COUNTIF(I72:AM72,"SL")</f>
        <v>0</v>
      </c>
      <c r="AT72" s="47">
        <f t="shared" ref="AT72:AT103" si="20">COUNTIF(I72:AM72,"PL")</f>
        <v>0</v>
      </c>
      <c r="AU72" s="47"/>
      <c r="AV72" s="48"/>
      <c r="AW72" s="50">
        <f t="shared" si="7"/>
        <v>850217.70370370371</v>
      </c>
      <c r="AX72" s="50">
        <f>500000*(1-IF(COUNTIF(J72:AM72,"UL")&gt;=2,IF(COUNTIF(J72:AM72,"UL")&gt;=3,1,0.5),0))</f>
        <v>0</v>
      </c>
      <c r="AY72" s="52"/>
      <c r="AZ72" s="52"/>
      <c r="BA72" s="49"/>
      <c r="BB72" s="52">
        <v>-40000</v>
      </c>
      <c r="BC72" s="56">
        <v>8</v>
      </c>
      <c r="BD72" s="56">
        <v>2026</v>
      </c>
      <c r="BE72" s="56" t="s">
        <v>435</v>
      </c>
      <c r="BF72" s="20">
        <v>1043449</v>
      </c>
    </row>
    <row r="73" spans="1:58" ht="29.1" customHeight="1">
      <c r="A73" s="42">
        <v>66</v>
      </c>
      <c r="B73" s="42" t="s">
        <v>355</v>
      </c>
      <c r="C73" s="56"/>
      <c r="D73" s="66" t="s">
        <v>335</v>
      </c>
      <c r="E73" s="56" t="s">
        <v>74</v>
      </c>
      <c r="F73" s="66" t="s">
        <v>197</v>
      </c>
      <c r="G73" s="67" t="s">
        <v>353</v>
      </c>
      <c r="H73" s="44" t="str">
        <f t="shared" ref="H73:H109" si="21">B73&amp;$AM$5</f>
        <v>LEP20546254</v>
      </c>
      <c r="I73" s="45" t="s">
        <v>459</v>
      </c>
      <c r="J73" s="45" t="s">
        <v>18</v>
      </c>
      <c r="K73" s="45" t="s">
        <v>18</v>
      </c>
      <c r="L73" s="45" t="s">
        <v>18</v>
      </c>
      <c r="M73" s="45" t="s">
        <v>18</v>
      </c>
      <c r="N73" s="45"/>
      <c r="O73" s="45" t="s">
        <v>18</v>
      </c>
      <c r="P73" s="45" t="s">
        <v>459</v>
      </c>
      <c r="Q73" s="45" t="s">
        <v>18</v>
      </c>
      <c r="R73" s="45" t="s">
        <v>459</v>
      </c>
      <c r="S73" s="45" t="s">
        <v>18</v>
      </c>
      <c r="T73" s="45" t="s">
        <v>18</v>
      </c>
      <c r="U73" s="45"/>
      <c r="V73" s="45" t="s">
        <v>459</v>
      </c>
      <c r="W73" s="45" t="s">
        <v>18</v>
      </c>
      <c r="X73" s="45" t="s">
        <v>459</v>
      </c>
      <c r="Y73" s="45" t="s">
        <v>459</v>
      </c>
      <c r="Z73" s="45" t="s">
        <v>18</v>
      </c>
      <c r="AA73" s="45" t="s">
        <v>459</v>
      </c>
      <c r="AB73" s="45"/>
      <c r="AC73" s="45" t="s">
        <v>18</v>
      </c>
      <c r="AD73" s="45" t="s">
        <v>459</v>
      </c>
      <c r="AE73" s="45" t="s">
        <v>18</v>
      </c>
      <c r="AF73" s="45" t="s">
        <v>18</v>
      </c>
      <c r="AG73" s="45" t="s">
        <v>459</v>
      </c>
      <c r="AH73" s="45" t="s">
        <v>18</v>
      </c>
      <c r="AI73" s="45"/>
      <c r="AJ73" s="45" t="s">
        <v>459</v>
      </c>
      <c r="AK73" s="45" t="s">
        <v>18</v>
      </c>
      <c r="AL73" s="45" t="s">
        <v>18</v>
      </c>
      <c r="AM73" s="45" t="s">
        <v>18</v>
      </c>
      <c r="AN73" s="46">
        <v>27</v>
      </c>
      <c r="AO73" s="47">
        <f t="shared" si="15"/>
        <v>17</v>
      </c>
      <c r="AP73" s="47">
        <f t="shared" si="16"/>
        <v>0</v>
      </c>
      <c r="AQ73" s="47">
        <f t="shared" si="17"/>
        <v>10</v>
      </c>
      <c r="AR73" s="47">
        <f t="shared" si="18"/>
        <v>0</v>
      </c>
      <c r="AS73" s="47">
        <f t="shared" si="19"/>
        <v>0</v>
      </c>
      <c r="AT73" s="47">
        <f t="shared" si="20"/>
        <v>0</v>
      </c>
      <c r="AU73" s="47"/>
      <c r="AV73" s="48"/>
      <c r="AW73" s="50">
        <f t="shared" si="7"/>
        <v>629629.62962962966</v>
      </c>
      <c r="AX73" s="50">
        <f>500000*(1-IF(COUNTIF(J73:AM73,"UL")&gt;=2,IF(COUNTIF(J73:AM73,"UL")&gt;=3,1,0.5),0))</f>
        <v>0</v>
      </c>
      <c r="AY73" s="52">
        <f>13000*AO73</f>
        <v>221000</v>
      </c>
      <c r="AZ73" s="52"/>
      <c r="BA73" s="49"/>
      <c r="BB73" s="52">
        <v>-40000</v>
      </c>
      <c r="BC73" s="43">
        <v>8</v>
      </c>
      <c r="BD73" s="43">
        <v>2026</v>
      </c>
      <c r="BE73" s="56"/>
      <c r="BF73" s="20">
        <v>1000000</v>
      </c>
    </row>
    <row r="74" spans="1:58" ht="29.1" customHeight="1">
      <c r="A74" s="42">
        <v>67</v>
      </c>
      <c r="B74" s="42" t="s">
        <v>356</v>
      </c>
      <c r="C74" s="56"/>
      <c r="D74" s="66" t="s">
        <v>336</v>
      </c>
      <c r="E74" s="56" t="s">
        <v>77</v>
      </c>
      <c r="F74" s="66" t="s">
        <v>93</v>
      </c>
      <c r="G74" s="67" t="s">
        <v>347</v>
      </c>
      <c r="H74" s="44" t="str">
        <f t="shared" si="21"/>
        <v>LEP20646254</v>
      </c>
      <c r="I74" s="45" t="s">
        <v>18</v>
      </c>
      <c r="J74" s="45" t="s">
        <v>18</v>
      </c>
      <c r="K74" s="45" t="s">
        <v>18</v>
      </c>
      <c r="L74" s="45" t="s">
        <v>18</v>
      </c>
      <c r="M74" s="45" t="s">
        <v>18</v>
      </c>
      <c r="N74" s="45"/>
      <c r="O74" s="45" t="s">
        <v>18</v>
      </c>
      <c r="P74" s="45" t="s">
        <v>18</v>
      </c>
      <c r="Q74" s="45" t="s">
        <v>18</v>
      </c>
      <c r="R74" s="45" t="s">
        <v>18</v>
      </c>
      <c r="S74" s="45" t="s">
        <v>18</v>
      </c>
      <c r="T74" s="45" t="s">
        <v>18</v>
      </c>
      <c r="U74" s="45"/>
      <c r="V74" s="45" t="s">
        <v>18</v>
      </c>
      <c r="W74" s="45" t="s">
        <v>18</v>
      </c>
      <c r="X74" s="45" t="s">
        <v>18</v>
      </c>
      <c r="Y74" s="45" t="s">
        <v>18</v>
      </c>
      <c r="Z74" s="45" t="s">
        <v>18</v>
      </c>
      <c r="AA74" s="45" t="s">
        <v>18</v>
      </c>
      <c r="AB74" s="45"/>
      <c r="AC74" s="45" t="s">
        <v>18</v>
      </c>
      <c r="AD74" s="45" t="s">
        <v>509</v>
      </c>
      <c r="AE74" s="45" t="s">
        <v>507</v>
      </c>
      <c r="AF74" s="45" t="s">
        <v>18</v>
      </c>
      <c r="AG74" s="45" t="s">
        <v>18</v>
      </c>
      <c r="AH74" s="45" t="s">
        <v>18</v>
      </c>
      <c r="AI74" s="45"/>
      <c r="AJ74" s="45" t="s">
        <v>18</v>
      </c>
      <c r="AK74" s="45" t="s">
        <v>18</v>
      </c>
      <c r="AL74" s="45" t="s">
        <v>18</v>
      </c>
      <c r="AM74" s="45" t="s">
        <v>18</v>
      </c>
      <c r="AN74" s="46">
        <v>27</v>
      </c>
      <c r="AO74" s="47">
        <f t="shared" si="15"/>
        <v>25.5</v>
      </c>
      <c r="AP74" s="47">
        <f t="shared" si="16"/>
        <v>0</v>
      </c>
      <c r="AQ74" s="47">
        <f t="shared" si="17"/>
        <v>0.5</v>
      </c>
      <c r="AR74" s="47">
        <f t="shared" si="18"/>
        <v>0</v>
      </c>
      <c r="AS74" s="47">
        <f t="shared" si="19"/>
        <v>1</v>
      </c>
      <c r="AT74" s="47">
        <f t="shared" si="20"/>
        <v>0</v>
      </c>
      <c r="AU74" s="47"/>
      <c r="AV74" s="48"/>
      <c r="AW74" s="50">
        <f t="shared" si="7"/>
        <v>944444.4444444445</v>
      </c>
      <c r="AX74" s="50">
        <v>500000</v>
      </c>
      <c r="AY74" s="52"/>
      <c r="AZ74" s="52"/>
      <c r="BA74" s="49"/>
      <c r="BB74" s="52">
        <v>-40000</v>
      </c>
      <c r="BC74" s="43">
        <v>8</v>
      </c>
      <c r="BD74" s="43">
        <v>2026</v>
      </c>
      <c r="BE74" s="56"/>
      <c r="BF74" s="20">
        <v>1000000</v>
      </c>
    </row>
    <row r="75" spans="1:58" ht="29.1" customHeight="1">
      <c r="A75" s="42">
        <v>68</v>
      </c>
      <c r="B75" s="42" t="s">
        <v>358</v>
      </c>
      <c r="C75" s="56"/>
      <c r="D75" s="66" t="s">
        <v>338</v>
      </c>
      <c r="E75" s="56" t="s">
        <v>74</v>
      </c>
      <c r="F75" s="66" t="s">
        <v>197</v>
      </c>
      <c r="G75" s="67" t="s">
        <v>348</v>
      </c>
      <c r="H75" s="44" t="str">
        <f t="shared" si="21"/>
        <v>LEP20846254</v>
      </c>
      <c r="I75" s="45" t="s">
        <v>18</v>
      </c>
      <c r="J75" s="45" t="s">
        <v>18</v>
      </c>
      <c r="K75" s="45" t="s">
        <v>18</v>
      </c>
      <c r="L75" s="45" t="s">
        <v>18</v>
      </c>
      <c r="M75" s="45" t="s">
        <v>18</v>
      </c>
      <c r="N75" s="45"/>
      <c r="O75" s="45" t="s">
        <v>459</v>
      </c>
      <c r="P75" s="45" t="s">
        <v>459</v>
      </c>
      <c r="Q75" s="45" t="s">
        <v>507</v>
      </c>
      <c r="R75" s="45" t="s">
        <v>459</v>
      </c>
      <c r="S75" s="45" t="s">
        <v>507</v>
      </c>
      <c r="T75" s="45" t="s">
        <v>507</v>
      </c>
      <c r="U75" s="45"/>
      <c r="V75" s="45" t="s">
        <v>18</v>
      </c>
      <c r="W75" s="45" t="s">
        <v>18</v>
      </c>
      <c r="X75" s="45" t="s">
        <v>459</v>
      </c>
      <c r="Y75" s="45" t="s">
        <v>459</v>
      </c>
      <c r="Z75" s="45" t="s">
        <v>459</v>
      </c>
      <c r="AA75" s="45" t="s">
        <v>459</v>
      </c>
      <c r="AB75" s="45"/>
      <c r="AC75" s="45" t="s">
        <v>18</v>
      </c>
      <c r="AD75" s="45" t="s">
        <v>459</v>
      </c>
      <c r="AE75" s="45" t="s">
        <v>459</v>
      </c>
      <c r="AF75" s="45" t="s">
        <v>18</v>
      </c>
      <c r="AG75" s="45" t="s">
        <v>459</v>
      </c>
      <c r="AH75" s="45" t="s">
        <v>459</v>
      </c>
      <c r="AI75" s="45"/>
      <c r="AJ75" s="45" t="s">
        <v>459</v>
      </c>
      <c r="AK75" s="45" t="s">
        <v>459</v>
      </c>
      <c r="AL75" s="45" t="s">
        <v>376</v>
      </c>
      <c r="AM75" s="45" t="s">
        <v>18</v>
      </c>
      <c r="AN75" s="46">
        <v>27</v>
      </c>
      <c r="AO75" s="47">
        <f t="shared" si="15"/>
        <v>10</v>
      </c>
      <c r="AP75" s="47">
        <f t="shared" si="16"/>
        <v>1</v>
      </c>
      <c r="AQ75" s="47">
        <f t="shared" si="17"/>
        <v>13</v>
      </c>
      <c r="AR75" s="47">
        <f t="shared" si="18"/>
        <v>0</v>
      </c>
      <c r="AS75" s="47">
        <f t="shared" si="19"/>
        <v>3</v>
      </c>
      <c r="AT75" s="47">
        <f t="shared" si="20"/>
        <v>0</v>
      </c>
      <c r="AU75" s="47"/>
      <c r="AV75" s="48"/>
      <c r="AW75" s="50">
        <f t="shared" si="7"/>
        <v>407407.40740740742</v>
      </c>
      <c r="AX75" s="50">
        <f t="shared" ref="AX75:AX82" si="22">500000*(1-IF(COUNTIF(J75:AM75,"UL")&gt;=2,IF(COUNTIF(J75:AM75,"UL")&gt;=3,1,0.5),0))</f>
        <v>0</v>
      </c>
      <c r="AY75" s="52">
        <f>13000*AO75</f>
        <v>130000</v>
      </c>
      <c r="AZ75" s="52"/>
      <c r="BA75" s="49"/>
      <c r="BB75" s="52">
        <v>-40000</v>
      </c>
      <c r="BC75" s="43">
        <v>8</v>
      </c>
      <c r="BD75" s="43">
        <v>2026</v>
      </c>
      <c r="BE75" s="56"/>
      <c r="BF75" s="20">
        <v>1000000</v>
      </c>
    </row>
    <row r="76" spans="1:58" ht="29.1" customHeight="1">
      <c r="A76" s="42">
        <v>69</v>
      </c>
      <c r="B76" s="42" t="s">
        <v>359</v>
      </c>
      <c r="C76" s="56"/>
      <c r="D76" s="66" t="s">
        <v>339</v>
      </c>
      <c r="E76" s="56" t="s">
        <v>74</v>
      </c>
      <c r="F76" s="66" t="s">
        <v>197</v>
      </c>
      <c r="G76" s="67" t="s">
        <v>349</v>
      </c>
      <c r="H76" s="44" t="str">
        <f t="shared" si="21"/>
        <v>LEP20946254</v>
      </c>
      <c r="I76" s="45" t="s">
        <v>18</v>
      </c>
      <c r="J76" s="45" t="s">
        <v>18</v>
      </c>
      <c r="K76" s="45" t="s">
        <v>376</v>
      </c>
      <c r="L76" s="45" t="s">
        <v>18</v>
      </c>
      <c r="M76" s="45" t="s">
        <v>18</v>
      </c>
      <c r="N76" s="45"/>
      <c r="O76" s="45" t="s">
        <v>18</v>
      </c>
      <c r="P76" s="45" t="s">
        <v>18</v>
      </c>
      <c r="Q76" s="45" t="s">
        <v>376</v>
      </c>
      <c r="R76" s="45" t="s">
        <v>18</v>
      </c>
      <c r="S76" s="45" t="s">
        <v>18</v>
      </c>
      <c r="T76" s="45" t="s">
        <v>18</v>
      </c>
      <c r="U76" s="45"/>
      <c r="V76" s="45" t="s">
        <v>18</v>
      </c>
      <c r="W76" s="45" t="s">
        <v>18</v>
      </c>
      <c r="X76" s="45" t="s">
        <v>18</v>
      </c>
      <c r="Y76" s="45" t="s">
        <v>18</v>
      </c>
      <c r="Z76" s="45" t="s">
        <v>18</v>
      </c>
      <c r="AA76" s="45" t="s">
        <v>18</v>
      </c>
      <c r="AB76" s="45"/>
      <c r="AC76" s="45" t="s">
        <v>459</v>
      </c>
      <c r="AD76" s="45" t="s">
        <v>18</v>
      </c>
      <c r="AE76" s="45" t="s">
        <v>18</v>
      </c>
      <c r="AF76" s="45" t="s">
        <v>18</v>
      </c>
      <c r="AG76" s="45" t="s">
        <v>18</v>
      </c>
      <c r="AH76" s="45" t="s">
        <v>18</v>
      </c>
      <c r="AI76" s="45"/>
      <c r="AJ76" s="45" t="s">
        <v>459</v>
      </c>
      <c r="AK76" s="45" t="s">
        <v>18</v>
      </c>
      <c r="AL76" s="45" t="s">
        <v>18</v>
      </c>
      <c r="AM76" s="45" t="s">
        <v>18</v>
      </c>
      <c r="AN76" s="46">
        <v>27</v>
      </c>
      <c r="AO76" s="47">
        <f t="shared" si="15"/>
        <v>23</v>
      </c>
      <c r="AP76" s="47">
        <f t="shared" si="16"/>
        <v>2</v>
      </c>
      <c r="AQ76" s="47">
        <f t="shared" si="17"/>
        <v>2</v>
      </c>
      <c r="AR76" s="47">
        <f t="shared" si="18"/>
        <v>0</v>
      </c>
      <c r="AS76" s="47">
        <f t="shared" si="19"/>
        <v>0</v>
      </c>
      <c r="AT76" s="47">
        <f t="shared" si="20"/>
        <v>0</v>
      </c>
      <c r="AU76" s="47"/>
      <c r="AV76" s="48"/>
      <c r="AW76" s="50">
        <f t="shared" si="7"/>
        <v>925925.92592592596</v>
      </c>
      <c r="AX76" s="50">
        <f t="shared" si="22"/>
        <v>250000</v>
      </c>
      <c r="AY76" s="52">
        <f>13000*AO76</f>
        <v>299000</v>
      </c>
      <c r="AZ76" s="52"/>
      <c r="BA76" s="49"/>
      <c r="BB76" s="52">
        <v>-40000</v>
      </c>
      <c r="BC76" s="43">
        <v>8</v>
      </c>
      <c r="BD76" s="43">
        <v>2026</v>
      </c>
      <c r="BE76" s="56"/>
      <c r="BF76" s="20">
        <v>1000000</v>
      </c>
    </row>
    <row r="77" spans="1:58" ht="29.1" customHeight="1">
      <c r="A77" s="42">
        <v>70</v>
      </c>
      <c r="B77" s="42" t="s">
        <v>361</v>
      </c>
      <c r="C77" s="56"/>
      <c r="D77" s="66" t="s">
        <v>341</v>
      </c>
      <c r="E77" s="56" t="s">
        <v>74</v>
      </c>
      <c r="F77" s="66" t="s">
        <v>197</v>
      </c>
      <c r="G77" s="67" t="s">
        <v>349</v>
      </c>
      <c r="H77" s="44" t="str">
        <f t="shared" si="21"/>
        <v>LEP21146254</v>
      </c>
      <c r="I77" s="45" t="s">
        <v>18</v>
      </c>
      <c r="J77" s="45" t="s">
        <v>18</v>
      </c>
      <c r="K77" s="45" t="s">
        <v>18</v>
      </c>
      <c r="L77" s="45" t="s">
        <v>18</v>
      </c>
      <c r="M77" s="45" t="s">
        <v>18</v>
      </c>
      <c r="N77" s="45"/>
      <c r="O77" s="45" t="s">
        <v>18</v>
      </c>
      <c r="P77" s="45" t="s">
        <v>18</v>
      </c>
      <c r="Q77" s="45" t="s">
        <v>18</v>
      </c>
      <c r="R77" s="45" t="s">
        <v>18</v>
      </c>
      <c r="S77" s="45" t="s">
        <v>18</v>
      </c>
      <c r="T77" s="45" t="s">
        <v>18</v>
      </c>
      <c r="U77" s="45"/>
      <c r="V77" s="45" t="s">
        <v>459</v>
      </c>
      <c r="W77" s="45" t="s">
        <v>18</v>
      </c>
      <c r="X77" s="45" t="s">
        <v>18</v>
      </c>
      <c r="Y77" s="45" t="s">
        <v>18</v>
      </c>
      <c r="Z77" s="45" t="s">
        <v>18</v>
      </c>
      <c r="AA77" s="45" t="s">
        <v>18</v>
      </c>
      <c r="AB77" s="45"/>
      <c r="AC77" s="45" t="s">
        <v>18</v>
      </c>
      <c r="AD77" s="45" t="s">
        <v>18</v>
      </c>
      <c r="AE77" s="45" t="s">
        <v>18</v>
      </c>
      <c r="AF77" s="45" t="s">
        <v>18</v>
      </c>
      <c r="AG77" s="45" t="s">
        <v>18</v>
      </c>
      <c r="AH77" s="45" t="s">
        <v>18</v>
      </c>
      <c r="AI77" s="45"/>
      <c r="AJ77" s="45" t="s">
        <v>18</v>
      </c>
      <c r="AK77" s="87" t="s">
        <v>459</v>
      </c>
      <c r="AL77" s="87" t="s">
        <v>459</v>
      </c>
      <c r="AM77" s="87" t="s">
        <v>459</v>
      </c>
      <c r="AN77" s="46">
        <v>27</v>
      </c>
      <c r="AO77" s="47">
        <f t="shared" si="15"/>
        <v>23</v>
      </c>
      <c r="AP77" s="47">
        <f t="shared" si="16"/>
        <v>0</v>
      </c>
      <c r="AQ77" s="47">
        <f t="shared" si="17"/>
        <v>4</v>
      </c>
      <c r="AR77" s="47">
        <f t="shared" si="18"/>
        <v>0</v>
      </c>
      <c r="AS77" s="47">
        <f t="shared" si="19"/>
        <v>0</v>
      </c>
      <c r="AT77" s="47">
        <f t="shared" si="20"/>
        <v>0</v>
      </c>
      <c r="AU77" s="47"/>
      <c r="AV77" s="48"/>
      <c r="AW77" s="50">
        <f t="shared" si="7"/>
        <v>906591</v>
      </c>
      <c r="AX77" s="50">
        <f t="shared" si="22"/>
        <v>0</v>
      </c>
      <c r="AY77" s="52"/>
      <c r="AZ77" s="52"/>
      <c r="BA77" s="49"/>
      <c r="BB77" s="52">
        <v>-40000</v>
      </c>
      <c r="BC77" s="43">
        <v>8</v>
      </c>
      <c r="BD77" s="43">
        <v>2026</v>
      </c>
      <c r="BE77" s="56"/>
      <c r="BF77" s="20">
        <v>1064259</v>
      </c>
    </row>
    <row r="78" spans="1:58" ht="29.1" customHeight="1">
      <c r="A78" s="42">
        <v>71</v>
      </c>
      <c r="B78" s="42" t="s">
        <v>363</v>
      </c>
      <c r="C78" s="56"/>
      <c r="D78" s="66" t="s">
        <v>243</v>
      </c>
      <c r="E78" s="56" t="s">
        <v>74</v>
      </c>
      <c r="F78" s="66" t="s">
        <v>197</v>
      </c>
      <c r="G78" s="67" t="s">
        <v>349</v>
      </c>
      <c r="H78" s="44" t="str">
        <f t="shared" si="21"/>
        <v>LEP211B46254</v>
      </c>
      <c r="I78" s="45" t="s">
        <v>18</v>
      </c>
      <c r="J78" s="45" t="s">
        <v>18</v>
      </c>
      <c r="K78" s="45" t="s">
        <v>18</v>
      </c>
      <c r="L78" s="45" t="s">
        <v>18</v>
      </c>
      <c r="M78" s="45" t="s">
        <v>18</v>
      </c>
      <c r="N78" s="45"/>
      <c r="O78" s="45" t="s">
        <v>18</v>
      </c>
      <c r="P78" s="45" t="s">
        <v>18</v>
      </c>
      <c r="Q78" s="45" t="s">
        <v>18</v>
      </c>
      <c r="R78" s="45" t="s">
        <v>18</v>
      </c>
      <c r="S78" s="45" t="s">
        <v>18</v>
      </c>
      <c r="T78" s="45" t="s">
        <v>18</v>
      </c>
      <c r="U78" s="45"/>
      <c r="V78" s="45" t="s">
        <v>18</v>
      </c>
      <c r="W78" s="45" t="s">
        <v>18</v>
      </c>
      <c r="X78" s="45" t="s">
        <v>18</v>
      </c>
      <c r="Y78" s="45" t="s">
        <v>18</v>
      </c>
      <c r="Z78" s="45" t="s">
        <v>18</v>
      </c>
      <c r="AA78" s="45" t="s">
        <v>18</v>
      </c>
      <c r="AB78" s="45"/>
      <c r="AC78" s="45" t="s">
        <v>18</v>
      </c>
      <c r="AD78" s="45" t="s">
        <v>18</v>
      </c>
      <c r="AE78" s="45" t="s">
        <v>18</v>
      </c>
      <c r="AF78" s="45" t="s">
        <v>18</v>
      </c>
      <c r="AG78" s="45" t="s">
        <v>18</v>
      </c>
      <c r="AH78" s="45" t="s">
        <v>18</v>
      </c>
      <c r="AI78" s="45"/>
      <c r="AJ78" s="45" t="s">
        <v>18</v>
      </c>
      <c r="AK78" s="45" t="s">
        <v>459</v>
      </c>
      <c r="AL78" s="45" t="s">
        <v>459</v>
      </c>
      <c r="AM78" s="45" t="s">
        <v>459</v>
      </c>
      <c r="AN78" s="46">
        <v>27</v>
      </c>
      <c r="AO78" s="47">
        <f t="shared" si="15"/>
        <v>24</v>
      </c>
      <c r="AP78" s="47">
        <f t="shared" si="16"/>
        <v>0</v>
      </c>
      <c r="AQ78" s="47">
        <f t="shared" si="17"/>
        <v>3</v>
      </c>
      <c r="AR78" s="47">
        <f t="shared" si="18"/>
        <v>0</v>
      </c>
      <c r="AS78" s="47">
        <f t="shared" si="19"/>
        <v>0</v>
      </c>
      <c r="AT78" s="47">
        <f t="shared" si="20"/>
        <v>0</v>
      </c>
      <c r="AU78" s="47"/>
      <c r="AV78" s="48"/>
      <c r="AW78" s="50">
        <f t="shared" si="7"/>
        <v>927510.22222222225</v>
      </c>
      <c r="AX78" s="50">
        <f t="shared" si="22"/>
        <v>0</v>
      </c>
      <c r="AY78" s="52"/>
      <c r="AZ78" s="52"/>
      <c r="BA78" s="49"/>
      <c r="BB78" s="52">
        <v>-40000</v>
      </c>
      <c r="BC78" s="43">
        <v>8</v>
      </c>
      <c r="BD78" s="43">
        <v>2026</v>
      </c>
      <c r="BE78" s="56"/>
      <c r="BF78" s="20">
        <v>1043449</v>
      </c>
    </row>
    <row r="79" spans="1:58" ht="29.1" customHeight="1">
      <c r="A79" s="42">
        <v>72</v>
      </c>
      <c r="B79" s="42" t="s">
        <v>366</v>
      </c>
      <c r="C79" s="56"/>
      <c r="D79" s="66" t="s">
        <v>343</v>
      </c>
      <c r="E79" s="56" t="s">
        <v>74</v>
      </c>
      <c r="F79" s="66" t="s">
        <v>197</v>
      </c>
      <c r="G79" s="67" t="s">
        <v>351</v>
      </c>
      <c r="H79" s="44" t="str">
        <f t="shared" si="21"/>
        <v>LEP21446254</v>
      </c>
      <c r="I79" s="45" t="s">
        <v>18</v>
      </c>
      <c r="J79" s="45" t="s">
        <v>18</v>
      </c>
      <c r="K79" s="45" t="s">
        <v>18</v>
      </c>
      <c r="L79" s="45" t="s">
        <v>18</v>
      </c>
      <c r="M79" s="45" t="s">
        <v>18</v>
      </c>
      <c r="N79" s="45"/>
      <c r="O79" s="45" t="s">
        <v>18</v>
      </c>
      <c r="P79" s="45" t="s">
        <v>18</v>
      </c>
      <c r="Q79" s="45" t="s">
        <v>18</v>
      </c>
      <c r="R79" s="45" t="s">
        <v>18</v>
      </c>
      <c r="S79" s="45" t="s">
        <v>18</v>
      </c>
      <c r="T79" s="45" t="s">
        <v>18</v>
      </c>
      <c r="U79" s="45"/>
      <c r="V79" s="45" t="s">
        <v>18</v>
      </c>
      <c r="W79" s="45" t="s">
        <v>18</v>
      </c>
      <c r="X79" s="45" t="s">
        <v>18</v>
      </c>
      <c r="Y79" s="45" t="s">
        <v>18</v>
      </c>
      <c r="Z79" s="45" t="s">
        <v>376</v>
      </c>
      <c r="AA79" s="45" t="s">
        <v>18</v>
      </c>
      <c r="AB79" s="45"/>
      <c r="AC79" s="45" t="s">
        <v>18</v>
      </c>
      <c r="AD79" s="45" t="s">
        <v>18</v>
      </c>
      <c r="AE79" s="45" t="s">
        <v>18</v>
      </c>
      <c r="AF79" s="45" t="s">
        <v>18</v>
      </c>
      <c r="AG79" s="45" t="s">
        <v>18</v>
      </c>
      <c r="AH79" s="45" t="s">
        <v>18</v>
      </c>
      <c r="AI79" s="45"/>
      <c r="AJ79" s="45" t="s">
        <v>18</v>
      </c>
      <c r="AK79" s="45" t="s">
        <v>18</v>
      </c>
      <c r="AL79" s="45" t="s">
        <v>18</v>
      </c>
      <c r="AM79" s="45" t="s">
        <v>18</v>
      </c>
      <c r="AN79" s="46">
        <v>27</v>
      </c>
      <c r="AO79" s="47">
        <f t="shared" si="15"/>
        <v>26</v>
      </c>
      <c r="AP79" s="47">
        <f t="shared" si="16"/>
        <v>1</v>
      </c>
      <c r="AQ79" s="47">
        <f t="shared" si="17"/>
        <v>0</v>
      </c>
      <c r="AR79" s="47">
        <f t="shared" si="18"/>
        <v>0</v>
      </c>
      <c r="AS79" s="47">
        <f t="shared" si="19"/>
        <v>0</v>
      </c>
      <c r="AT79" s="47">
        <f t="shared" si="20"/>
        <v>0</v>
      </c>
      <c r="AU79" s="47"/>
      <c r="AV79" s="48"/>
      <c r="AW79" s="50">
        <f t="shared" ref="AW79:AW109" si="23">(AO79+AP79)*BF79/AN79</f>
        <v>1043449</v>
      </c>
      <c r="AX79" s="50">
        <f t="shared" si="22"/>
        <v>500000</v>
      </c>
      <c r="AY79" s="52"/>
      <c r="AZ79" s="52"/>
      <c r="BA79" s="49"/>
      <c r="BB79" s="52">
        <v>-40000</v>
      </c>
      <c r="BC79" s="43">
        <v>8</v>
      </c>
      <c r="BD79" s="43">
        <v>2026</v>
      </c>
      <c r="BE79" s="56"/>
      <c r="BF79" s="20">
        <v>1043449</v>
      </c>
    </row>
    <row r="80" spans="1:58" s="86" customFormat="1" ht="29.1" customHeight="1">
      <c r="A80" s="42">
        <v>73</v>
      </c>
      <c r="B80" s="42" t="s">
        <v>368</v>
      </c>
      <c r="C80" s="56"/>
      <c r="D80" s="66" t="s">
        <v>285</v>
      </c>
      <c r="E80" s="56" t="s">
        <v>74</v>
      </c>
      <c r="F80" s="66" t="s">
        <v>197</v>
      </c>
      <c r="G80" s="67" t="s">
        <v>351</v>
      </c>
      <c r="H80" s="44" t="str">
        <f t="shared" si="21"/>
        <v>LEP215A46254</v>
      </c>
      <c r="I80" s="45" t="s">
        <v>18</v>
      </c>
      <c r="J80" s="45" t="s">
        <v>18</v>
      </c>
      <c r="K80" s="45" t="s">
        <v>18</v>
      </c>
      <c r="L80" s="45" t="s">
        <v>18</v>
      </c>
      <c r="M80" s="45" t="s">
        <v>18</v>
      </c>
      <c r="N80" s="45"/>
      <c r="O80" s="45" t="s">
        <v>18</v>
      </c>
      <c r="P80" s="45" t="s">
        <v>18</v>
      </c>
      <c r="Q80" s="45" t="s">
        <v>18</v>
      </c>
      <c r="R80" s="45" t="s">
        <v>18</v>
      </c>
      <c r="S80" s="45" t="s">
        <v>18</v>
      </c>
      <c r="T80" s="45" t="s">
        <v>18</v>
      </c>
      <c r="U80" s="45"/>
      <c r="V80" s="45" t="s">
        <v>18</v>
      </c>
      <c r="W80" s="45" t="s">
        <v>18</v>
      </c>
      <c r="X80" s="45" t="s">
        <v>18</v>
      </c>
      <c r="Y80" s="45" t="s">
        <v>18</v>
      </c>
      <c r="Z80" s="45" t="s">
        <v>18</v>
      </c>
      <c r="AA80" s="45" t="s">
        <v>18</v>
      </c>
      <c r="AB80" s="45"/>
      <c r="AC80" s="45" t="s">
        <v>18</v>
      </c>
      <c r="AD80" s="45" t="s">
        <v>18</v>
      </c>
      <c r="AE80" s="45" t="s">
        <v>18</v>
      </c>
      <c r="AF80" s="45" t="s">
        <v>18</v>
      </c>
      <c r="AG80" s="45" t="s">
        <v>18</v>
      </c>
      <c r="AH80" s="45" t="s">
        <v>18</v>
      </c>
      <c r="AI80" s="45"/>
      <c r="AJ80" s="45" t="s">
        <v>18</v>
      </c>
      <c r="AK80" s="45" t="s">
        <v>18</v>
      </c>
      <c r="AL80" s="45" t="s">
        <v>18</v>
      </c>
      <c r="AM80" s="45" t="s">
        <v>18</v>
      </c>
      <c r="AN80" s="46">
        <v>27</v>
      </c>
      <c r="AO80" s="47">
        <f t="shared" si="15"/>
        <v>27</v>
      </c>
      <c r="AP80" s="47">
        <f t="shared" si="16"/>
        <v>0</v>
      </c>
      <c r="AQ80" s="47">
        <f t="shared" si="17"/>
        <v>0</v>
      </c>
      <c r="AR80" s="47">
        <f t="shared" si="18"/>
        <v>0</v>
      </c>
      <c r="AS80" s="47">
        <f t="shared" si="19"/>
        <v>0</v>
      </c>
      <c r="AT80" s="47">
        <f t="shared" si="20"/>
        <v>0</v>
      </c>
      <c r="AU80" s="47"/>
      <c r="AV80" s="48"/>
      <c r="AW80" s="50">
        <f t="shared" si="23"/>
        <v>1064259</v>
      </c>
      <c r="AX80" s="50">
        <f t="shared" si="22"/>
        <v>500000</v>
      </c>
      <c r="AY80" s="52"/>
      <c r="AZ80" s="52"/>
      <c r="BA80" s="49"/>
      <c r="BB80" s="52">
        <v>-40000</v>
      </c>
      <c r="BC80" s="43">
        <v>8</v>
      </c>
      <c r="BD80" s="43">
        <v>2026</v>
      </c>
      <c r="BE80" s="56"/>
      <c r="BF80" s="20">
        <v>1064259</v>
      </c>
    </row>
    <row r="81" spans="1:58" ht="29.1" customHeight="1">
      <c r="A81" s="42">
        <v>74</v>
      </c>
      <c r="B81" s="42" t="s">
        <v>369</v>
      </c>
      <c r="C81" s="56"/>
      <c r="D81" s="66" t="s">
        <v>283</v>
      </c>
      <c r="E81" s="56" t="s">
        <v>74</v>
      </c>
      <c r="F81" s="66" t="s">
        <v>197</v>
      </c>
      <c r="G81" s="67" t="s">
        <v>351</v>
      </c>
      <c r="H81" s="44" t="str">
        <f t="shared" si="21"/>
        <v>LEP215B46254</v>
      </c>
      <c r="I81" s="45" t="s">
        <v>376</v>
      </c>
      <c r="J81" s="45" t="s">
        <v>18</v>
      </c>
      <c r="K81" s="45" t="s">
        <v>18</v>
      </c>
      <c r="L81" s="45" t="s">
        <v>18</v>
      </c>
      <c r="M81" s="45" t="s">
        <v>18</v>
      </c>
      <c r="N81" s="45"/>
      <c r="O81" s="45" t="s">
        <v>18</v>
      </c>
      <c r="P81" s="45" t="s">
        <v>18</v>
      </c>
      <c r="Q81" s="45" t="s">
        <v>18</v>
      </c>
      <c r="R81" s="45" t="s">
        <v>18</v>
      </c>
      <c r="S81" s="45" t="s">
        <v>18</v>
      </c>
      <c r="T81" s="45" t="s">
        <v>18</v>
      </c>
      <c r="U81" s="45"/>
      <c r="V81" s="45" t="s">
        <v>18</v>
      </c>
      <c r="W81" s="45" t="s">
        <v>18</v>
      </c>
      <c r="X81" s="45" t="s">
        <v>507</v>
      </c>
      <c r="Y81" s="45" t="s">
        <v>459</v>
      </c>
      <c r="Z81" s="45" t="s">
        <v>18</v>
      </c>
      <c r="AA81" s="45" t="s">
        <v>459</v>
      </c>
      <c r="AB81" s="45"/>
      <c r="AC81" s="45" t="s">
        <v>18</v>
      </c>
      <c r="AD81" s="45" t="s">
        <v>18</v>
      </c>
      <c r="AE81" s="45" t="s">
        <v>18</v>
      </c>
      <c r="AF81" s="45" t="s">
        <v>18</v>
      </c>
      <c r="AG81" s="45" t="s">
        <v>18</v>
      </c>
      <c r="AH81" s="45" t="s">
        <v>18</v>
      </c>
      <c r="AI81" s="45"/>
      <c r="AJ81" s="45" t="s">
        <v>18</v>
      </c>
      <c r="AK81" s="45" t="s">
        <v>18</v>
      </c>
      <c r="AL81" s="45" t="s">
        <v>18</v>
      </c>
      <c r="AM81" s="45" t="s">
        <v>18</v>
      </c>
      <c r="AN81" s="46">
        <v>27</v>
      </c>
      <c r="AO81" s="47">
        <f t="shared" si="15"/>
        <v>23</v>
      </c>
      <c r="AP81" s="47">
        <f t="shared" si="16"/>
        <v>1</v>
      </c>
      <c r="AQ81" s="47">
        <f t="shared" si="17"/>
        <v>2</v>
      </c>
      <c r="AR81" s="47">
        <f t="shared" si="18"/>
        <v>0</v>
      </c>
      <c r="AS81" s="47">
        <f t="shared" si="19"/>
        <v>1</v>
      </c>
      <c r="AT81" s="47">
        <f t="shared" si="20"/>
        <v>0</v>
      </c>
      <c r="AU81" s="47"/>
      <c r="AV81" s="48"/>
      <c r="AW81" s="50">
        <f t="shared" si="23"/>
        <v>927510.22222222225</v>
      </c>
      <c r="AX81" s="50">
        <f t="shared" si="22"/>
        <v>250000</v>
      </c>
      <c r="AY81" s="52"/>
      <c r="AZ81" s="52"/>
      <c r="BA81" s="49"/>
      <c r="BB81" s="52">
        <v>-40000</v>
      </c>
      <c r="BC81" s="43">
        <v>8</v>
      </c>
      <c r="BD81" s="43">
        <v>2026</v>
      </c>
      <c r="BE81" s="56"/>
      <c r="BF81" s="20">
        <v>1043449</v>
      </c>
    </row>
    <row r="82" spans="1:58" ht="29.1" customHeight="1">
      <c r="A82" s="42">
        <v>75</v>
      </c>
      <c r="B82" s="42" t="s">
        <v>371</v>
      </c>
      <c r="C82" s="56"/>
      <c r="D82" s="66" t="s">
        <v>372</v>
      </c>
      <c r="E82" s="56" t="s">
        <v>74</v>
      </c>
      <c r="F82" s="66" t="s">
        <v>197</v>
      </c>
      <c r="G82" s="67" t="s">
        <v>373</v>
      </c>
      <c r="H82" s="44" t="str">
        <f t="shared" si="21"/>
        <v>LEP21746254</v>
      </c>
      <c r="I82" s="45" t="s">
        <v>18</v>
      </c>
      <c r="J82" s="45" t="s">
        <v>18</v>
      </c>
      <c r="K82" s="45" t="s">
        <v>18</v>
      </c>
      <c r="L82" s="45" t="s">
        <v>18</v>
      </c>
      <c r="M82" s="45" t="s">
        <v>18</v>
      </c>
      <c r="N82" s="45"/>
      <c r="O82" s="45" t="s">
        <v>18</v>
      </c>
      <c r="P82" s="45" t="s">
        <v>18</v>
      </c>
      <c r="Q82" s="45" t="s">
        <v>18</v>
      </c>
      <c r="R82" s="45" t="s">
        <v>18</v>
      </c>
      <c r="S82" s="45" t="s">
        <v>18</v>
      </c>
      <c r="T82" s="45" t="s">
        <v>18</v>
      </c>
      <c r="U82" s="45"/>
      <c r="V82" s="45" t="s">
        <v>18</v>
      </c>
      <c r="W82" s="45" t="s">
        <v>18</v>
      </c>
      <c r="X82" s="45" t="s">
        <v>18</v>
      </c>
      <c r="Y82" s="45" t="s">
        <v>18</v>
      </c>
      <c r="Z82" s="45" t="s">
        <v>18</v>
      </c>
      <c r="AA82" s="45" t="s">
        <v>18</v>
      </c>
      <c r="AB82" s="45"/>
      <c r="AC82" s="45" t="s">
        <v>18</v>
      </c>
      <c r="AD82" s="45" t="s">
        <v>18</v>
      </c>
      <c r="AE82" s="45" t="s">
        <v>18</v>
      </c>
      <c r="AF82" s="45" t="s">
        <v>18</v>
      </c>
      <c r="AG82" s="45" t="s">
        <v>18</v>
      </c>
      <c r="AH82" s="45" t="s">
        <v>18</v>
      </c>
      <c r="AI82" s="45"/>
      <c r="AJ82" s="45" t="s">
        <v>18</v>
      </c>
      <c r="AK82" s="45" t="s">
        <v>18</v>
      </c>
      <c r="AL82" s="45" t="s">
        <v>18</v>
      </c>
      <c r="AM82" s="45" t="s">
        <v>18</v>
      </c>
      <c r="AN82" s="46">
        <v>27</v>
      </c>
      <c r="AO82" s="47">
        <f t="shared" si="15"/>
        <v>27</v>
      </c>
      <c r="AP82" s="47">
        <f t="shared" si="16"/>
        <v>0</v>
      </c>
      <c r="AQ82" s="47">
        <f t="shared" si="17"/>
        <v>0</v>
      </c>
      <c r="AR82" s="47">
        <f t="shared" si="18"/>
        <v>0</v>
      </c>
      <c r="AS82" s="47">
        <f t="shared" si="19"/>
        <v>0</v>
      </c>
      <c r="AT82" s="47">
        <f t="shared" si="20"/>
        <v>0</v>
      </c>
      <c r="AU82" s="47"/>
      <c r="AV82" s="48"/>
      <c r="AW82" s="50">
        <f t="shared" si="23"/>
        <v>1064259</v>
      </c>
      <c r="AX82" s="50">
        <f t="shared" si="22"/>
        <v>500000</v>
      </c>
      <c r="AY82" s="52"/>
      <c r="AZ82" s="52"/>
      <c r="BA82" s="49"/>
      <c r="BB82" s="52">
        <v>-40000</v>
      </c>
      <c r="BC82" s="43">
        <v>8</v>
      </c>
      <c r="BD82" s="43">
        <v>2026</v>
      </c>
      <c r="BE82" s="56"/>
      <c r="BF82" s="20">
        <v>1064259</v>
      </c>
    </row>
    <row r="83" spans="1:58" ht="29.1" customHeight="1">
      <c r="A83" s="42">
        <v>76</v>
      </c>
      <c r="B83" s="42" t="s">
        <v>382</v>
      </c>
      <c r="C83" s="56"/>
      <c r="D83" s="66" t="s">
        <v>377</v>
      </c>
      <c r="E83" s="56" t="s">
        <v>77</v>
      </c>
      <c r="F83" s="66" t="s">
        <v>93</v>
      </c>
      <c r="G83" s="67" t="s">
        <v>373</v>
      </c>
      <c r="H83" s="44" t="str">
        <f t="shared" si="21"/>
        <v>LEP217A46254</v>
      </c>
      <c r="I83" s="45" t="s">
        <v>18</v>
      </c>
      <c r="J83" s="45" t="s">
        <v>18</v>
      </c>
      <c r="K83" s="45" t="s">
        <v>18</v>
      </c>
      <c r="L83" s="45" t="s">
        <v>18</v>
      </c>
      <c r="M83" s="45" t="s">
        <v>18</v>
      </c>
      <c r="N83" s="45"/>
      <c r="O83" s="45" t="s">
        <v>18</v>
      </c>
      <c r="P83" s="45" t="s">
        <v>18</v>
      </c>
      <c r="Q83" s="45" t="s">
        <v>18</v>
      </c>
      <c r="R83" s="45" t="s">
        <v>18</v>
      </c>
      <c r="S83" s="45" t="s">
        <v>18</v>
      </c>
      <c r="T83" s="45" t="s">
        <v>18</v>
      </c>
      <c r="U83" s="45"/>
      <c r="V83" s="45" t="s">
        <v>18</v>
      </c>
      <c r="W83" s="45" t="s">
        <v>18</v>
      </c>
      <c r="X83" s="45" t="s">
        <v>18</v>
      </c>
      <c r="Y83" s="45" t="s">
        <v>18</v>
      </c>
      <c r="Z83" s="45" t="s">
        <v>18</v>
      </c>
      <c r="AA83" s="45" t="s">
        <v>376</v>
      </c>
      <c r="AB83" s="45"/>
      <c r="AC83" s="45" t="s">
        <v>18</v>
      </c>
      <c r="AD83" s="45" t="s">
        <v>18</v>
      </c>
      <c r="AE83" s="45" t="s">
        <v>18</v>
      </c>
      <c r="AF83" s="45" t="s">
        <v>18</v>
      </c>
      <c r="AG83" s="45" t="s">
        <v>18</v>
      </c>
      <c r="AH83" s="45" t="s">
        <v>18</v>
      </c>
      <c r="AI83" s="45"/>
      <c r="AJ83" s="45" t="s">
        <v>18</v>
      </c>
      <c r="AK83" s="45" t="s">
        <v>18</v>
      </c>
      <c r="AL83" s="45" t="s">
        <v>18</v>
      </c>
      <c r="AM83" s="45" t="s">
        <v>18</v>
      </c>
      <c r="AN83" s="46">
        <v>27</v>
      </c>
      <c r="AO83" s="47">
        <f t="shared" si="15"/>
        <v>26</v>
      </c>
      <c r="AP83" s="47">
        <f t="shared" si="16"/>
        <v>1</v>
      </c>
      <c r="AQ83" s="47">
        <f t="shared" si="17"/>
        <v>0</v>
      </c>
      <c r="AR83" s="47">
        <f t="shared" si="18"/>
        <v>0</v>
      </c>
      <c r="AS83" s="47">
        <f t="shared" si="19"/>
        <v>0</v>
      </c>
      <c r="AT83" s="47">
        <f t="shared" si="20"/>
        <v>0</v>
      </c>
      <c r="AU83" s="47"/>
      <c r="AV83" s="48"/>
      <c r="AW83" s="50">
        <f t="shared" si="23"/>
        <v>1000000</v>
      </c>
      <c r="AX83" s="50">
        <v>500000</v>
      </c>
      <c r="AY83" s="52"/>
      <c r="AZ83" s="52"/>
      <c r="BA83" s="49"/>
      <c r="BB83" s="52">
        <v>-40000</v>
      </c>
      <c r="BC83" s="43">
        <v>8</v>
      </c>
      <c r="BD83" s="43">
        <v>2026</v>
      </c>
      <c r="BE83" s="56"/>
      <c r="BF83" s="20">
        <v>1000000</v>
      </c>
    </row>
    <row r="84" spans="1:58" ht="29.1" customHeight="1">
      <c r="A84" s="42">
        <v>77</v>
      </c>
      <c r="B84" s="42" t="s">
        <v>383</v>
      </c>
      <c r="C84" s="56"/>
      <c r="D84" s="66" t="s">
        <v>378</v>
      </c>
      <c r="E84" s="56" t="s">
        <v>77</v>
      </c>
      <c r="F84" s="66" t="s">
        <v>93</v>
      </c>
      <c r="G84" s="67" t="s">
        <v>373</v>
      </c>
      <c r="H84" s="44" t="str">
        <f t="shared" si="21"/>
        <v>LEP217B46254</v>
      </c>
      <c r="I84" s="45" t="s">
        <v>18</v>
      </c>
      <c r="J84" s="45" t="s">
        <v>18</v>
      </c>
      <c r="K84" s="45" t="s">
        <v>18</v>
      </c>
      <c r="L84" s="45" t="s">
        <v>508</v>
      </c>
      <c r="M84" s="45" t="s">
        <v>18</v>
      </c>
      <c r="N84" s="45"/>
      <c r="O84" s="45" t="s">
        <v>18</v>
      </c>
      <c r="P84" s="45" t="s">
        <v>18</v>
      </c>
      <c r="Q84" s="45" t="s">
        <v>18</v>
      </c>
      <c r="R84" s="45" t="s">
        <v>507</v>
      </c>
      <c r="S84" s="45" t="s">
        <v>507</v>
      </c>
      <c r="T84" s="45" t="s">
        <v>507</v>
      </c>
      <c r="U84" s="45"/>
      <c r="V84" s="45" t="s">
        <v>507</v>
      </c>
      <c r="W84" s="45" t="s">
        <v>507</v>
      </c>
      <c r="X84" s="45" t="s">
        <v>507</v>
      </c>
      <c r="Y84" s="45" t="s">
        <v>459</v>
      </c>
      <c r="Z84" s="45" t="s">
        <v>507</v>
      </c>
      <c r="AA84" s="45" t="s">
        <v>507</v>
      </c>
      <c r="AB84" s="45"/>
      <c r="AC84" s="45" t="s">
        <v>507</v>
      </c>
      <c r="AD84" s="45" t="s">
        <v>18</v>
      </c>
      <c r="AE84" s="45" t="s">
        <v>459</v>
      </c>
      <c r="AF84" s="45" t="s">
        <v>18</v>
      </c>
      <c r="AG84" s="45" t="s">
        <v>18</v>
      </c>
      <c r="AH84" s="45" t="s">
        <v>18</v>
      </c>
      <c r="AI84" s="45"/>
      <c r="AJ84" s="45" t="s">
        <v>459</v>
      </c>
      <c r="AK84" s="45" t="s">
        <v>459</v>
      </c>
      <c r="AL84" s="45" t="s">
        <v>459</v>
      </c>
      <c r="AM84" s="45" t="s">
        <v>459</v>
      </c>
      <c r="AN84" s="46">
        <v>27</v>
      </c>
      <c r="AO84" s="47">
        <f t="shared" si="15"/>
        <v>11.5</v>
      </c>
      <c r="AP84" s="47">
        <f t="shared" si="16"/>
        <v>0.5</v>
      </c>
      <c r="AQ84" s="47">
        <f t="shared" si="17"/>
        <v>6</v>
      </c>
      <c r="AR84" s="47">
        <f t="shared" si="18"/>
        <v>0</v>
      </c>
      <c r="AS84" s="47">
        <f t="shared" si="19"/>
        <v>9</v>
      </c>
      <c r="AT84" s="47">
        <f t="shared" si="20"/>
        <v>0</v>
      </c>
      <c r="AU84" s="47"/>
      <c r="AV84" s="48"/>
      <c r="AW84" s="50">
        <f>(AO84+AP84)*1000000/AN84</f>
        <v>444444.44444444444</v>
      </c>
      <c r="AX84" s="52">
        <v>500000</v>
      </c>
      <c r="AY84" s="52"/>
      <c r="AZ84" s="52"/>
      <c r="BA84" s="49"/>
      <c r="BB84" s="52">
        <v>-40000</v>
      </c>
      <c r="BC84" s="43">
        <v>8</v>
      </c>
      <c r="BD84" s="43">
        <v>2026</v>
      </c>
      <c r="BE84" s="56"/>
      <c r="BF84" s="20">
        <v>1000000</v>
      </c>
    </row>
    <row r="85" spans="1:58" ht="29.1" customHeight="1">
      <c r="A85" s="42">
        <v>78</v>
      </c>
      <c r="B85" s="42" t="s">
        <v>400</v>
      </c>
      <c r="C85" s="56"/>
      <c r="D85" s="66" t="s">
        <v>401</v>
      </c>
      <c r="E85" s="56" t="s">
        <v>74</v>
      </c>
      <c r="F85" s="66" t="s">
        <v>197</v>
      </c>
      <c r="G85" s="67" t="s">
        <v>373</v>
      </c>
      <c r="H85" s="44" t="str">
        <f t="shared" si="21"/>
        <v>LEP217C46254</v>
      </c>
      <c r="I85" s="45" t="s">
        <v>18</v>
      </c>
      <c r="J85" s="45" t="s">
        <v>18</v>
      </c>
      <c r="K85" s="45" t="s">
        <v>18</v>
      </c>
      <c r="L85" s="45" t="s">
        <v>18</v>
      </c>
      <c r="M85" s="45" t="s">
        <v>18</v>
      </c>
      <c r="N85" s="45"/>
      <c r="O85" s="45" t="s">
        <v>18</v>
      </c>
      <c r="P85" s="45" t="s">
        <v>18</v>
      </c>
      <c r="Q85" s="45" t="s">
        <v>18</v>
      </c>
      <c r="R85" s="45" t="s">
        <v>18</v>
      </c>
      <c r="S85" s="45" t="s">
        <v>18</v>
      </c>
      <c r="T85" s="45" t="s">
        <v>18</v>
      </c>
      <c r="U85" s="45"/>
      <c r="V85" s="45" t="s">
        <v>18</v>
      </c>
      <c r="W85" s="45" t="s">
        <v>18</v>
      </c>
      <c r="X85" s="45" t="s">
        <v>18</v>
      </c>
      <c r="Y85" s="45" t="s">
        <v>18</v>
      </c>
      <c r="Z85" s="45" t="s">
        <v>18</v>
      </c>
      <c r="AA85" s="45" t="s">
        <v>18</v>
      </c>
      <c r="AB85" s="45"/>
      <c r="AC85" s="45" t="s">
        <v>18</v>
      </c>
      <c r="AD85" s="45" t="s">
        <v>459</v>
      </c>
      <c r="AE85" s="45" t="s">
        <v>18</v>
      </c>
      <c r="AF85" s="45" t="s">
        <v>18</v>
      </c>
      <c r="AG85" s="45" t="s">
        <v>18</v>
      </c>
      <c r="AH85" s="45" t="s">
        <v>18</v>
      </c>
      <c r="AI85" s="45"/>
      <c r="AJ85" s="45" t="s">
        <v>18</v>
      </c>
      <c r="AK85" s="45" t="s">
        <v>459</v>
      </c>
      <c r="AL85" s="45" t="s">
        <v>18</v>
      </c>
      <c r="AM85" s="45" t="s">
        <v>18</v>
      </c>
      <c r="AN85" s="46">
        <v>27</v>
      </c>
      <c r="AO85" s="47">
        <f t="shared" si="15"/>
        <v>25</v>
      </c>
      <c r="AP85" s="47">
        <f t="shared" si="16"/>
        <v>0</v>
      </c>
      <c r="AQ85" s="47">
        <f t="shared" si="17"/>
        <v>2</v>
      </c>
      <c r="AR85" s="47">
        <f t="shared" si="18"/>
        <v>0</v>
      </c>
      <c r="AS85" s="47">
        <f t="shared" si="19"/>
        <v>0</v>
      </c>
      <c r="AT85" s="47">
        <f t="shared" si="20"/>
        <v>0</v>
      </c>
      <c r="AU85" s="47"/>
      <c r="AV85" s="48"/>
      <c r="AW85" s="50">
        <f t="shared" si="23"/>
        <v>0</v>
      </c>
      <c r="AX85" s="50">
        <f>500000*(1-IF(COUNTIF(J85:AM85,"UL")&gt;=2,IF(COUNTIF(J85:AM85,"UL")&gt;=3,1,0.5),0))</f>
        <v>250000</v>
      </c>
      <c r="AY85" s="52"/>
      <c r="AZ85" s="52"/>
      <c r="BA85" s="49"/>
      <c r="BB85" s="52">
        <v>-40000</v>
      </c>
      <c r="BC85" s="43">
        <v>8</v>
      </c>
      <c r="BD85" s="43">
        <v>2026</v>
      </c>
      <c r="BE85" s="56"/>
      <c r="BF85" s="20">
        <v>0</v>
      </c>
    </row>
    <row r="86" spans="1:58" ht="29.1" customHeight="1">
      <c r="A86" s="42">
        <v>79</v>
      </c>
      <c r="B86" s="76" t="s">
        <v>388</v>
      </c>
      <c r="C86" s="77"/>
      <c r="D86" s="89" t="s">
        <v>36</v>
      </c>
      <c r="E86" s="90" t="s">
        <v>77</v>
      </c>
      <c r="F86" s="89" t="s">
        <v>46</v>
      </c>
      <c r="G86" s="91" t="s">
        <v>390</v>
      </c>
      <c r="H86" s="44" t="str">
        <f t="shared" si="21"/>
        <v>LEP22046254</v>
      </c>
      <c r="I86" s="45" t="s">
        <v>18</v>
      </c>
      <c r="J86" s="45" t="s">
        <v>18</v>
      </c>
      <c r="K86" s="45" t="s">
        <v>18</v>
      </c>
      <c r="L86" s="45" t="s">
        <v>18</v>
      </c>
      <c r="M86" s="45" t="s">
        <v>459</v>
      </c>
      <c r="N86" s="45"/>
      <c r="O86" s="45" t="s">
        <v>18</v>
      </c>
      <c r="P86" s="45" t="s">
        <v>18</v>
      </c>
      <c r="Q86" s="45" t="s">
        <v>18</v>
      </c>
      <c r="R86" s="45" t="s">
        <v>18</v>
      </c>
      <c r="S86" s="45" t="s">
        <v>18</v>
      </c>
      <c r="T86" s="45" t="s">
        <v>18</v>
      </c>
      <c r="U86" s="45"/>
      <c r="V86" s="45" t="s">
        <v>18</v>
      </c>
      <c r="W86" s="87" t="s">
        <v>233</v>
      </c>
      <c r="X86" s="87">
        <v>0</v>
      </c>
      <c r="Y86" s="87">
        <v>0</v>
      </c>
      <c r="Z86" s="87">
        <v>0</v>
      </c>
      <c r="AA86" s="87">
        <v>0</v>
      </c>
      <c r="AB86" s="87"/>
      <c r="AC86" s="87">
        <v>0</v>
      </c>
      <c r="AD86" s="87">
        <v>0</v>
      </c>
      <c r="AE86" s="87">
        <v>0</v>
      </c>
      <c r="AF86" s="87"/>
      <c r="AG86" s="87">
        <v>0</v>
      </c>
      <c r="AH86" s="87">
        <v>0</v>
      </c>
      <c r="AI86" s="87"/>
      <c r="AJ86" s="87">
        <v>0</v>
      </c>
      <c r="AK86" s="87">
        <v>0</v>
      </c>
      <c r="AL86" s="87">
        <v>0</v>
      </c>
      <c r="AM86" s="87">
        <v>0</v>
      </c>
      <c r="AN86" s="81">
        <v>27</v>
      </c>
      <c r="AO86" s="82">
        <f t="shared" si="15"/>
        <v>11</v>
      </c>
      <c r="AP86" s="82">
        <f t="shared" si="16"/>
        <v>0</v>
      </c>
      <c r="AQ86" s="82">
        <f t="shared" si="17"/>
        <v>1</v>
      </c>
      <c r="AR86" s="82">
        <f t="shared" si="18"/>
        <v>0</v>
      </c>
      <c r="AS86" s="82">
        <f t="shared" si="19"/>
        <v>0</v>
      </c>
      <c r="AT86" s="82">
        <f t="shared" si="20"/>
        <v>0</v>
      </c>
      <c r="AU86" s="82"/>
      <c r="AV86" s="83"/>
      <c r="AW86" s="50">
        <f t="shared" si="23"/>
        <v>0</v>
      </c>
      <c r="AX86" s="84">
        <v>500000</v>
      </c>
      <c r="AY86" s="84"/>
      <c r="AZ86" s="84"/>
      <c r="BA86" s="88"/>
      <c r="BB86" s="84">
        <v>-40000</v>
      </c>
      <c r="BC86" s="77">
        <v>8</v>
      </c>
      <c r="BD86" s="77">
        <v>2026</v>
      </c>
      <c r="BE86" s="77" t="s">
        <v>456</v>
      </c>
      <c r="BF86" s="20">
        <v>0</v>
      </c>
    </row>
    <row r="87" spans="1:58" ht="29.1" customHeight="1">
      <c r="A87" s="42">
        <v>80</v>
      </c>
      <c r="B87" s="42" t="s">
        <v>391</v>
      </c>
      <c r="C87" s="56"/>
      <c r="D87" s="66" t="s">
        <v>392</v>
      </c>
      <c r="E87" s="68" t="s">
        <v>74</v>
      </c>
      <c r="F87" s="66" t="s">
        <v>393</v>
      </c>
      <c r="G87" s="69" t="s">
        <v>394</v>
      </c>
      <c r="H87" s="44" t="str">
        <f t="shared" si="21"/>
        <v>LEP22146254</v>
      </c>
      <c r="I87" s="45" t="s">
        <v>18</v>
      </c>
      <c r="J87" s="45" t="s">
        <v>18</v>
      </c>
      <c r="K87" s="45" t="s">
        <v>18</v>
      </c>
      <c r="L87" s="45" t="s">
        <v>18</v>
      </c>
      <c r="M87" s="45" t="s">
        <v>18</v>
      </c>
      <c r="N87" s="45"/>
      <c r="O87" s="45" t="s">
        <v>18</v>
      </c>
      <c r="P87" s="45" t="s">
        <v>18</v>
      </c>
      <c r="Q87" s="45" t="s">
        <v>18</v>
      </c>
      <c r="R87" s="45" t="s">
        <v>18</v>
      </c>
      <c r="S87" s="45" t="s">
        <v>18</v>
      </c>
      <c r="T87" s="45" t="s">
        <v>18</v>
      </c>
      <c r="U87" s="45"/>
      <c r="V87" s="45" t="s">
        <v>18</v>
      </c>
      <c r="W87" s="45" t="s">
        <v>18</v>
      </c>
      <c r="X87" s="45" t="s">
        <v>18</v>
      </c>
      <c r="Y87" s="45" t="s">
        <v>18</v>
      </c>
      <c r="Z87" s="45" t="s">
        <v>18</v>
      </c>
      <c r="AA87" s="45" t="s">
        <v>18</v>
      </c>
      <c r="AB87" s="45"/>
      <c r="AC87" s="45" t="s">
        <v>18</v>
      </c>
      <c r="AD87" s="45" t="s">
        <v>18</v>
      </c>
      <c r="AE87" s="45" t="s">
        <v>18</v>
      </c>
      <c r="AF87" s="45" t="s">
        <v>18</v>
      </c>
      <c r="AG87" s="45" t="s">
        <v>18</v>
      </c>
      <c r="AH87" s="45" t="s">
        <v>18</v>
      </c>
      <c r="AI87" s="45"/>
      <c r="AJ87" s="45" t="s">
        <v>18</v>
      </c>
      <c r="AK87" s="45" t="s">
        <v>18</v>
      </c>
      <c r="AL87" s="45" t="s">
        <v>18</v>
      </c>
      <c r="AM87" s="45" t="s">
        <v>18</v>
      </c>
      <c r="AN87" s="46">
        <v>27</v>
      </c>
      <c r="AO87" s="47">
        <f t="shared" si="15"/>
        <v>27</v>
      </c>
      <c r="AP87" s="47">
        <f t="shared" si="16"/>
        <v>0</v>
      </c>
      <c r="AQ87" s="47">
        <f t="shared" si="17"/>
        <v>0</v>
      </c>
      <c r="AR87" s="47">
        <f t="shared" si="18"/>
        <v>0</v>
      </c>
      <c r="AS87" s="47">
        <f t="shared" si="19"/>
        <v>0</v>
      </c>
      <c r="AT87" s="47">
        <f t="shared" si="20"/>
        <v>0</v>
      </c>
      <c r="AU87" s="47"/>
      <c r="AV87" s="48"/>
      <c r="AW87" s="50">
        <f t="shared" si="23"/>
        <v>1000000</v>
      </c>
      <c r="AX87" s="50">
        <f>500000*(1-IF(COUNTIF(J87:AM87,"UL")&gt;=2,IF(COUNTIF(J87:AM87,"UL")&gt;=3,1,0.5),0))</f>
        <v>500000</v>
      </c>
      <c r="AY87" s="52">
        <f>13000*AO87</f>
        <v>351000</v>
      </c>
      <c r="AZ87" s="52"/>
      <c r="BA87" s="49"/>
      <c r="BB87" s="52">
        <v>-40000</v>
      </c>
      <c r="BC87" s="43">
        <v>8</v>
      </c>
      <c r="BD87" s="43">
        <v>2026</v>
      </c>
      <c r="BE87" s="56"/>
      <c r="BF87" s="20">
        <v>1000000</v>
      </c>
    </row>
    <row r="88" spans="1:58" ht="29.1" customHeight="1">
      <c r="A88" s="42">
        <v>81</v>
      </c>
      <c r="B88" s="42" t="s">
        <v>398</v>
      </c>
      <c r="C88" s="56"/>
      <c r="D88" s="66" t="s">
        <v>396</v>
      </c>
      <c r="E88" s="68" t="s">
        <v>74</v>
      </c>
      <c r="F88" s="66" t="s">
        <v>197</v>
      </c>
      <c r="G88" s="69" t="s">
        <v>397</v>
      </c>
      <c r="H88" s="44" t="str">
        <f t="shared" si="21"/>
        <v>LEP22246254</v>
      </c>
      <c r="I88" s="45" t="s">
        <v>18</v>
      </c>
      <c r="J88" s="45" t="s">
        <v>18</v>
      </c>
      <c r="K88" s="45" t="s">
        <v>18</v>
      </c>
      <c r="L88" s="45" t="s">
        <v>18</v>
      </c>
      <c r="M88" s="45" t="s">
        <v>18</v>
      </c>
      <c r="N88" s="45"/>
      <c r="O88" s="45" t="s">
        <v>376</v>
      </c>
      <c r="P88" s="45" t="s">
        <v>459</v>
      </c>
      <c r="Q88" s="45" t="s">
        <v>18</v>
      </c>
      <c r="R88" s="45" t="s">
        <v>18</v>
      </c>
      <c r="S88" s="45" t="s">
        <v>18</v>
      </c>
      <c r="T88" s="45" t="s">
        <v>18</v>
      </c>
      <c r="U88" s="45"/>
      <c r="V88" s="45" t="s">
        <v>18</v>
      </c>
      <c r="W88" s="45" t="s">
        <v>18</v>
      </c>
      <c r="X88" s="45" t="s">
        <v>18</v>
      </c>
      <c r="Y88" s="45" t="s">
        <v>18</v>
      </c>
      <c r="Z88" s="45" t="s">
        <v>18</v>
      </c>
      <c r="AA88" s="45" t="s">
        <v>18</v>
      </c>
      <c r="AB88" s="45"/>
      <c r="AC88" s="45" t="s">
        <v>459</v>
      </c>
      <c r="AD88" s="45" t="s">
        <v>18</v>
      </c>
      <c r="AE88" s="45" t="s">
        <v>18</v>
      </c>
      <c r="AF88" s="45" t="s">
        <v>18</v>
      </c>
      <c r="AG88" s="45" t="s">
        <v>18</v>
      </c>
      <c r="AH88" s="45" t="s">
        <v>18</v>
      </c>
      <c r="AI88" s="45"/>
      <c r="AJ88" s="45" t="s">
        <v>18</v>
      </c>
      <c r="AK88" s="45" t="s">
        <v>18</v>
      </c>
      <c r="AL88" s="45" t="s">
        <v>18</v>
      </c>
      <c r="AM88" s="45" t="s">
        <v>18</v>
      </c>
      <c r="AN88" s="46">
        <v>27</v>
      </c>
      <c r="AO88" s="47">
        <f t="shared" si="15"/>
        <v>24</v>
      </c>
      <c r="AP88" s="47">
        <f t="shared" si="16"/>
        <v>1</v>
      </c>
      <c r="AQ88" s="47">
        <f t="shared" si="17"/>
        <v>2</v>
      </c>
      <c r="AR88" s="47">
        <f t="shared" si="18"/>
        <v>0</v>
      </c>
      <c r="AS88" s="47">
        <f t="shared" si="19"/>
        <v>0</v>
      </c>
      <c r="AT88" s="47">
        <f t="shared" si="20"/>
        <v>0</v>
      </c>
      <c r="AU88" s="47"/>
      <c r="AV88" s="48"/>
      <c r="AW88" s="50">
        <f t="shared" si="23"/>
        <v>966156.48148148146</v>
      </c>
      <c r="AX88" s="50">
        <f>500000*(1-IF(COUNTIF(J88:AM88,"UL")&gt;=2,IF(COUNTIF(J88:AM88,"UL")&gt;=3,1,0.5),0))</f>
        <v>250000</v>
      </c>
      <c r="AY88" s="52"/>
      <c r="AZ88" s="52"/>
      <c r="BA88" s="49"/>
      <c r="BB88" s="52">
        <v>-40000</v>
      </c>
      <c r="BC88" s="43">
        <v>8</v>
      </c>
      <c r="BD88" s="43">
        <v>2026</v>
      </c>
      <c r="BE88" s="56" t="s">
        <v>436</v>
      </c>
      <c r="BF88" s="20">
        <v>1043449</v>
      </c>
    </row>
    <row r="89" spans="1:58" ht="29.1" customHeight="1">
      <c r="A89" s="42">
        <v>82</v>
      </c>
      <c r="B89" s="42" t="s">
        <v>405</v>
      </c>
      <c r="C89" s="56"/>
      <c r="D89" s="66" t="s">
        <v>402</v>
      </c>
      <c r="E89" s="68" t="s">
        <v>77</v>
      </c>
      <c r="F89" s="66" t="s">
        <v>93</v>
      </c>
      <c r="G89" s="69" t="s">
        <v>408</v>
      </c>
      <c r="H89" s="44" t="str">
        <f t="shared" si="21"/>
        <v>LEP22546254</v>
      </c>
      <c r="I89" s="45" t="s">
        <v>18</v>
      </c>
      <c r="J89" s="45" t="s">
        <v>18</v>
      </c>
      <c r="K89" s="45" t="s">
        <v>18</v>
      </c>
      <c r="L89" s="45" t="s">
        <v>18</v>
      </c>
      <c r="M89" s="45" t="s">
        <v>18</v>
      </c>
      <c r="N89" s="45"/>
      <c r="O89" s="45" t="s">
        <v>18</v>
      </c>
      <c r="P89" s="45" t="s">
        <v>18</v>
      </c>
      <c r="Q89" s="45" t="s">
        <v>18</v>
      </c>
      <c r="R89" s="45" t="s">
        <v>376</v>
      </c>
      <c r="S89" s="45" t="s">
        <v>18</v>
      </c>
      <c r="T89" s="45" t="s">
        <v>18</v>
      </c>
      <c r="U89" s="45"/>
      <c r="V89" s="45" t="s">
        <v>18</v>
      </c>
      <c r="W89" s="45" t="s">
        <v>18</v>
      </c>
      <c r="X89" s="45" t="s">
        <v>18</v>
      </c>
      <c r="Y89" s="45" t="s">
        <v>18</v>
      </c>
      <c r="Z89" s="45" t="s">
        <v>18</v>
      </c>
      <c r="AA89" s="45" t="s">
        <v>18</v>
      </c>
      <c r="AB89" s="45"/>
      <c r="AC89" s="45" t="s">
        <v>18</v>
      </c>
      <c r="AD89" s="45" t="s">
        <v>18</v>
      </c>
      <c r="AE89" s="45" t="s">
        <v>18</v>
      </c>
      <c r="AF89" s="45" t="s">
        <v>18</v>
      </c>
      <c r="AG89" s="45" t="s">
        <v>18</v>
      </c>
      <c r="AH89" s="45" t="s">
        <v>18</v>
      </c>
      <c r="AI89" s="45"/>
      <c r="AJ89" s="45" t="s">
        <v>18</v>
      </c>
      <c r="AK89" s="45" t="s">
        <v>18</v>
      </c>
      <c r="AL89" s="45" t="s">
        <v>18</v>
      </c>
      <c r="AM89" s="45" t="s">
        <v>18</v>
      </c>
      <c r="AN89" s="46">
        <v>27</v>
      </c>
      <c r="AO89" s="47">
        <f t="shared" si="15"/>
        <v>26</v>
      </c>
      <c r="AP89" s="47">
        <f t="shared" si="16"/>
        <v>1</v>
      </c>
      <c r="AQ89" s="47">
        <f t="shared" si="17"/>
        <v>0</v>
      </c>
      <c r="AR89" s="47">
        <f t="shared" si="18"/>
        <v>0</v>
      </c>
      <c r="AS89" s="47">
        <f t="shared" si="19"/>
        <v>0</v>
      </c>
      <c r="AT89" s="47">
        <f t="shared" si="20"/>
        <v>0</v>
      </c>
      <c r="AU89" s="47"/>
      <c r="AV89" s="48"/>
      <c r="AW89" s="50">
        <f t="shared" si="23"/>
        <v>1000000</v>
      </c>
      <c r="AX89" s="52">
        <v>250000</v>
      </c>
      <c r="AY89" s="52"/>
      <c r="AZ89" s="52"/>
      <c r="BA89" s="49"/>
      <c r="BB89" s="52">
        <v>-40000</v>
      </c>
      <c r="BC89" s="56">
        <v>8</v>
      </c>
      <c r="BD89" s="56">
        <v>2026</v>
      </c>
      <c r="BE89" s="56" t="s">
        <v>436</v>
      </c>
      <c r="BF89" s="20">
        <v>1000000</v>
      </c>
    </row>
    <row r="90" spans="1:58" ht="29.1" customHeight="1">
      <c r="A90" s="42">
        <v>83</v>
      </c>
      <c r="B90" s="42" t="s">
        <v>406</v>
      </c>
      <c r="C90" s="56"/>
      <c r="D90" s="66" t="s">
        <v>403</v>
      </c>
      <c r="E90" s="68" t="s">
        <v>77</v>
      </c>
      <c r="F90" s="66" t="s">
        <v>93</v>
      </c>
      <c r="G90" s="69" t="s">
        <v>408</v>
      </c>
      <c r="H90" s="44" t="str">
        <f t="shared" si="21"/>
        <v>LEP22646254</v>
      </c>
      <c r="I90" s="45" t="s">
        <v>18</v>
      </c>
      <c r="J90" s="45" t="s">
        <v>18</v>
      </c>
      <c r="K90" s="45" t="s">
        <v>18</v>
      </c>
      <c r="L90" s="45" t="s">
        <v>18</v>
      </c>
      <c r="M90" s="45" t="s">
        <v>18</v>
      </c>
      <c r="N90" s="45"/>
      <c r="O90" s="45" t="s">
        <v>18</v>
      </c>
      <c r="P90" s="45" t="s">
        <v>18</v>
      </c>
      <c r="Q90" s="45" t="s">
        <v>18</v>
      </c>
      <c r="R90" s="45" t="s">
        <v>18</v>
      </c>
      <c r="S90" s="45" t="s">
        <v>18</v>
      </c>
      <c r="T90" s="45" t="s">
        <v>18</v>
      </c>
      <c r="U90" s="45"/>
      <c r="V90" s="45" t="s">
        <v>18</v>
      </c>
      <c r="W90" s="45" t="s">
        <v>18</v>
      </c>
      <c r="X90" s="45" t="s">
        <v>18</v>
      </c>
      <c r="Y90" s="45" t="s">
        <v>18</v>
      </c>
      <c r="Z90" s="45" t="s">
        <v>18</v>
      </c>
      <c r="AA90" s="45" t="s">
        <v>18</v>
      </c>
      <c r="AB90" s="45"/>
      <c r="AC90" s="45" t="s">
        <v>18</v>
      </c>
      <c r="AD90" s="45" t="s">
        <v>18</v>
      </c>
      <c r="AE90" s="45" t="s">
        <v>18</v>
      </c>
      <c r="AF90" s="45" t="s">
        <v>18</v>
      </c>
      <c r="AG90" s="45" t="s">
        <v>18</v>
      </c>
      <c r="AH90" s="45" t="s">
        <v>18</v>
      </c>
      <c r="AI90" s="45"/>
      <c r="AJ90" s="45" t="s">
        <v>18</v>
      </c>
      <c r="AK90" s="45" t="s">
        <v>18</v>
      </c>
      <c r="AL90" s="45" t="s">
        <v>18</v>
      </c>
      <c r="AM90" s="45" t="s">
        <v>18</v>
      </c>
      <c r="AN90" s="46">
        <v>27</v>
      </c>
      <c r="AO90" s="47">
        <f t="shared" si="15"/>
        <v>27</v>
      </c>
      <c r="AP90" s="47">
        <f t="shared" si="16"/>
        <v>0</v>
      </c>
      <c r="AQ90" s="47">
        <f t="shared" si="17"/>
        <v>0</v>
      </c>
      <c r="AR90" s="47">
        <f t="shared" si="18"/>
        <v>0</v>
      </c>
      <c r="AS90" s="47">
        <f t="shared" si="19"/>
        <v>0</v>
      </c>
      <c r="AT90" s="47">
        <f t="shared" si="20"/>
        <v>0</v>
      </c>
      <c r="AU90" s="47"/>
      <c r="AV90" s="48"/>
      <c r="AW90" s="50">
        <f t="shared" si="23"/>
        <v>1000000</v>
      </c>
      <c r="AX90" s="52">
        <v>500000</v>
      </c>
      <c r="AY90" s="52"/>
      <c r="AZ90" s="52"/>
      <c r="BA90" s="49"/>
      <c r="BB90" s="52">
        <v>-40000</v>
      </c>
      <c r="BC90" s="56">
        <v>8</v>
      </c>
      <c r="BD90" s="56">
        <v>2026</v>
      </c>
      <c r="BE90" s="56" t="s">
        <v>436</v>
      </c>
      <c r="BF90" s="20">
        <v>1000000</v>
      </c>
    </row>
    <row r="91" spans="1:58" ht="29.1" customHeight="1">
      <c r="A91" s="42">
        <v>84</v>
      </c>
      <c r="B91" s="42" t="s">
        <v>407</v>
      </c>
      <c r="C91" s="56"/>
      <c r="D91" s="66" t="s">
        <v>404</v>
      </c>
      <c r="E91" s="68" t="s">
        <v>74</v>
      </c>
      <c r="F91" s="66" t="s">
        <v>197</v>
      </c>
      <c r="G91" s="69" t="s">
        <v>409</v>
      </c>
      <c r="H91" s="44" t="str">
        <f t="shared" si="21"/>
        <v>LEP22746254</v>
      </c>
      <c r="I91" s="45" t="s">
        <v>18</v>
      </c>
      <c r="J91" s="45" t="s">
        <v>18</v>
      </c>
      <c r="K91" s="45" t="s">
        <v>18</v>
      </c>
      <c r="L91" s="87">
        <v>0</v>
      </c>
      <c r="M91" s="87">
        <v>0</v>
      </c>
      <c r="N91" s="87"/>
      <c r="O91" s="87">
        <v>0</v>
      </c>
      <c r="P91" s="87">
        <v>0</v>
      </c>
      <c r="Q91" s="87">
        <v>0</v>
      </c>
      <c r="R91" s="87">
        <v>0</v>
      </c>
      <c r="S91" s="87">
        <v>0</v>
      </c>
      <c r="T91" s="87">
        <v>0</v>
      </c>
      <c r="U91" s="87"/>
      <c r="V91" s="87">
        <v>0</v>
      </c>
      <c r="W91" s="87">
        <v>0</v>
      </c>
      <c r="X91" s="87">
        <v>0</v>
      </c>
      <c r="Y91" s="87">
        <v>0</v>
      </c>
      <c r="Z91" s="87">
        <v>0</v>
      </c>
      <c r="AA91" s="87">
        <v>0</v>
      </c>
      <c r="AB91" s="87"/>
      <c r="AC91" s="87">
        <v>0</v>
      </c>
      <c r="AD91" s="87">
        <v>0</v>
      </c>
      <c r="AE91" s="87">
        <v>0</v>
      </c>
      <c r="AF91" s="87"/>
      <c r="AG91" s="87">
        <v>0</v>
      </c>
      <c r="AH91" s="87">
        <v>0</v>
      </c>
      <c r="AI91" s="87"/>
      <c r="AJ91" s="87">
        <v>0</v>
      </c>
      <c r="AK91" s="87">
        <v>0</v>
      </c>
      <c r="AL91" s="87">
        <v>0</v>
      </c>
      <c r="AM91" s="87">
        <v>0</v>
      </c>
      <c r="AN91" s="46">
        <v>27</v>
      </c>
      <c r="AO91" s="47">
        <f t="shared" si="15"/>
        <v>3</v>
      </c>
      <c r="AP91" s="47">
        <f t="shared" si="16"/>
        <v>0</v>
      </c>
      <c r="AQ91" s="47">
        <f t="shared" si="17"/>
        <v>0</v>
      </c>
      <c r="AR91" s="47">
        <f t="shared" si="18"/>
        <v>0</v>
      </c>
      <c r="AS91" s="47">
        <f t="shared" si="19"/>
        <v>0</v>
      </c>
      <c r="AT91" s="47">
        <f t="shared" si="20"/>
        <v>0</v>
      </c>
      <c r="AU91" s="47"/>
      <c r="AV91" s="48"/>
      <c r="AW91" s="50">
        <f t="shared" si="23"/>
        <v>0</v>
      </c>
      <c r="AX91" s="50">
        <f>500000*(1-IF(COUNTIF(J91:AM91,"UL")&gt;=2,IF(COUNTIF(J91:AM91,"UL")&gt;=3,1,0.5),0))</f>
        <v>500000</v>
      </c>
      <c r="AY91" s="52"/>
      <c r="AZ91" s="52"/>
      <c r="BA91" s="49"/>
      <c r="BB91" s="52">
        <v>-40000</v>
      </c>
      <c r="BC91" s="56">
        <v>8</v>
      </c>
      <c r="BD91" s="56">
        <v>2026</v>
      </c>
      <c r="BE91" s="56" t="s">
        <v>436</v>
      </c>
      <c r="BF91" s="20">
        <v>0</v>
      </c>
    </row>
    <row r="92" spans="1:58" ht="29.1" customHeight="1">
      <c r="A92" s="42">
        <v>85</v>
      </c>
      <c r="B92" s="42" t="s">
        <v>410</v>
      </c>
      <c r="C92" s="56"/>
      <c r="D92" s="66" t="s">
        <v>411</v>
      </c>
      <c r="E92" s="68" t="s">
        <v>74</v>
      </c>
      <c r="F92" s="66" t="s">
        <v>197</v>
      </c>
      <c r="G92" s="69" t="s">
        <v>412</v>
      </c>
      <c r="H92" s="44" t="str">
        <f t="shared" si="21"/>
        <v>LEP22846254</v>
      </c>
      <c r="I92" s="45" t="s">
        <v>18</v>
      </c>
      <c r="J92" s="45" t="s">
        <v>18</v>
      </c>
      <c r="K92" s="45" t="s">
        <v>18</v>
      </c>
      <c r="L92" s="45" t="s">
        <v>18</v>
      </c>
      <c r="M92" s="45" t="s">
        <v>18</v>
      </c>
      <c r="N92" s="45"/>
      <c r="O92" s="45" t="s">
        <v>18</v>
      </c>
      <c r="P92" s="45" t="s">
        <v>18</v>
      </c>
      <c r="Q92" s="45" t="s">
        <v>18</v>
      </c>
      <c r="R92" s="45" t="s">
        <v>18</v>
      </c>
      <c r="S92" s="45" t="s">
        <v>18</v>
      </c>
      <c r="T92" s="45" t="s">
        <v>18</v>
      </c>
      <c r="U92" s="45"/>
      <c r="V92" s="45" t="s">
        <v>18</v>
      </c>
      <c r="W92" s="45" t="s">
        <v>18</v>
      </c>
      <c r="X92" s="45" t="s">
        <v>18</v>
      </c>
      <c r="Y92" s="45" t="s">
        <v>18</v>
      </c>
      <c r="Z92" s="45" t="s">
        <v>18</v>
      </c>
      <c r="AA92" s="45" t="s">
        <v>18</v>
      </c>
      <c r="AB92" s="45"/>
      <c r="AC92" s="45" t="s">
        <v>18</v>
      </c>
      <c r="AD92" s="45" t="s">
        <v>509</v>
      </c>
      <c r="AE92" s="87" t="s">
        <v>459</v>
      </c>
      <c r="AF92" s="87" t="s">
        <v>459</v>
      </c>
      <c r="AG92" s="87" t="s">
        <v>459</v>
      </c>
      <c r="AH92" s="87" t="s">
        <v>459</v>
      </c>
      <c r="AI92" s="87" t="s">
        <v>459</v>
      </c>
      <c r="AJ92" s="87" t="s">
        <v>459</v>
      </c>
      <c r="AK92" s="87" t="s">
        <v>459</v>
      </c>
      <c r="AL92" s="87" t="s">
        <v>459</v>
      </c>
      <c r="AM92" s="87" t="s">
        <v>459</v>
      </c>
      <c r="AN92" s="46">
        <v>27</v>
      </c>
      <c r="AO92" s="47">
        <f t="shared" si="15"/>
        <v>18.5</v>
      </c>
      <c r="AP92" s="47">
        <f t="shared" si="16"/>
        <v>0</v>
      </c>
      <c r="AQ92" s="47">
        <f t="shared" si="17"/>
        <v>9.5</v>
      </c>
      <c r="AR92" s="47">
        <f t="shared" si="18"/>
        <v>0</v>
      </c>
      <c r="AS92" s="47">
        <f t="shared" si="19"/>
        <v>0</v>
      </c>
      <c r="AT92" s="47">
        <f t="shared" si="20"/>
        <v>0</v>
      </c>
      <c r="AU92" s="47"/>
      <c r="AV92" s="48"/>
      <c r="AW92" s="50">
        <f t="shared" si="23"/>
        <v>0</v>
      </c>
      <c r="AX92" s="50">
        <f>500000*(1-IF(COUNTIF(J92:AM92,"UL")&gt;=2,IF(COUNTIF(J92:AM92,"UL")&gt;=3,1,0.5),0))</f>
        <v>0</v>
      </c>
      <c r="AY92" s="52"/>
      <c r="AZ92" s="52"/>
      <c r="BA92" s="49"/>
      <c r="BB92" s="52">
        <v>-40000</v>
      </c>
      <c r="BC92" s="56">
        <v>8</v>
      </c>
      <c r="BD92" s="56">
        <v>2026</v>
      </c>
      <c r="BE92" s="56" t="s">
        <v>436</v>
      </c>
      <c r="BF92" s="20">
        <v>0</v>
      </c>
    </row>
    <row r="93" spans="1:58" ht="29.1" customHeight="1">
      <c r="A93" s="42">
        <v>86</v>
      </c>
      <c r="B93" s="42" t="s">
        <v>419</v>
      </c>
      <c r="C93" s="56"/>
      <c r="D93" s="66" t="s">
        <v>420</v>
      </c>
      <c r="E93" s="68" t="s">
        <v>74</v>
      </c>
      <c r="F93" s="66" t="s">
        <v>197</v>
      </c>
      <c r="G93" s="69" t="s">
        <v>417</v>
      </c>
      <c r="H93" s="44" t="str">
        <f t="shared" si="21"/>
        <v>LEP23346254</v>
      </c>
      <c r="I93" s="45" t="s">
        <v>18</v>
      </c>
      <c r="J93" s="45" t="s">
        <v>18</v>
      </c>
      <c r="K93" s="45" t="s">
        <v>18</v>
      </c>
      <c r="L93" s="45" t="s">
        <v>18</v>
      </c>
      <c r="M93" s="45" t="s">
        <v>18</v>
      </c>
      <c r="N93" s="45"/>
      <c r="O93" s="45" t="s">
        <v>18</v>
      </c>
      <c r="P93" s="45" t="s">
        <v>18</v>
      </c>
      <c r="Q93" s="45" t="s">
        <v>18</v>
      </c>
      <c r="R93" s="45" t="s">
        <v>18</v>
      </c>
      <c r="S93" s="45" t="s">
        <v>18</v>
      </c>
      <c r="T93" s="45" t="s">
        <v>18</v>
      </c>
      <c r="U93" s="45"/>
      <c r="V93" s="45" t="s">
        <v>18</v>
      </c>
      <c r="W93" s="45" t="s">
        <v>18</v>
      </c>
      <c r="X93" s="45" t="s">
        <v>18</v>
      </c>
      <c r="Y93" s="45" t="s">
        <v>18</v>
      </c>
      <c r="Z93" s="45" t="s">
        <v>18</v>
      </c>
      <c r="AA93" s="45" t="s">
        <v>18</v>
      </c>
      <c r="AB93" s="45"/>
      <c r="AC93" s="45" t="s">
        <v>18</v>
      </c>
      <c r="AD93" s="45" t="s">
        <v>18</v>
      </c>
      <c r="AE93" s="45" t="s">
        <v>18</v>
      </c>
      <c r="AF93" s="45" t="s">
        <v>18</v>
      </c>
      <c r="AG93" s="45" t="s">
        <v>18</v>
      </c>
      <c r="AH93" s="45" t="s">
        <v>18</v>
      </c>
      <c r="AI93" s="45"/>
      <c r="AJ93" s="45" t="s">
        <v>18</v>
      </c>
      <c r="AK93" s="45" t="s">
        <v>18</v>
      </c>
      <c r="AL93" s="45" t="s">
        <v>18</v>
      </c>
      <c r="AM93" s="45" t="s">
        <v>18</v>
      </c>
      <c r="AN93" s="46">
        <v>27</v>
      </c>
      <c r="AO93" s="47">
        <f t="shared" si="15"/>
        <v>27</v>
      </c>
      <c r="AP93" s="47">
        <f t="shared" si="16"/>
        <v>0</v>
      </c>
      <c r="AQ93" s="47">
        <f t="shared" si="17"/>
        <v>0</v>
      </c>
      <c r="AR93" s="47">
        <f t="shared" si="18"/>
        <v>0</v>
      </c>
      <c r="AS93" s="47">
        <f t="shared" si="19"/>
        <v>0</v>
      </c>
      <c r="AT93" s="47">
        <f t="shared" si="20"/>
        <v>0</v>
      </c>
      <c r="AU93" s="47"/>
      <c r="AV93" s="48"/>
      <c r="AW93" s="50">
        <f t="shared" si="23"/>
        <v>1043449</v>
      </c>
      <c r="AX93" s="50">
        <f>500000*(1-IF(COUNTIF(J93:AM93,"UL")&gt;=2,IF(COUNTIF(J93:AM93,"UL")&gt;=3,1,0.5),0))</f>
        <v>500000</v>
      </c>
      <c r="AY93" s="52"/>
      <c r="AZ93" s="52"/>
      <c r="BA93" s="49"/>
      <c r="BB93" s="52">
        <v>-40000</v>
      </c>
      <c r="BC93" s="56">
        <v>8</v>
      </c>
      <c r="BD93" s="56">
        <v>2026</v>
      </c>
      <c r="BE93" s="56" t="s">
        <v>436</v>
      </c>
      <c r="BF93" s="20">
        <v>1043449</v>
      </c>
    </row>
    <row r="94" spans="1:58" ht="29.1" customHeight="1">
      <c r="A94" s="42">
        <v>87</v>
      </c>
      <c r="B94" s="42" t="s">
        <v>421</v>
      </c>
      <c r="C94" s="56"/>
      <c r="D94" s="66" t="s">
        <v>422</v>
      </c>
      <c r="E94" s="68" t="s">
        <v>423</v>
      </c>
      <c r="F94" s="66" t="s">
        <v>424</v>
      </c>
      <c r="G94" s="69" t="s">
        <v>425</v>
      </c>
      <c r="H94" s="44" t="str">
        <f t="shared" si="21"/>
        <v>LEP23446254</v>
      </c>
      <c r="I94" s="45" t="s">
        <v>18</v>
      </c>
      <c r="J94" s="45" t="s">
        <v>18</v>
      </c>
      <c r="K94" s="45" t="s">
        <v>18</v>
      </c>
      <c r="L94" s="45" t="s">
        <v>18</v>
      </c>
      <c r="M94" s="45"/>
      <c r="N94" s="45"/>
      <c r="O94" s="45" t="s">
        <v>18</v>
      </c>
      <c r="P94" s="45" t="s">
        <v>18</v>
      </c>
      <c r="Q94" s="45" t="s">
        <v>18</v>
      </c>
      <c r="R94" s="45" t="s">
        <v>18</v>
      </c>
      <c r="S94" s="45" t="s">
        <v>18</v>
      </c>
      <c r="T94" s="45"/>
      <c r="U94" s="45"/>
      <c r="V94" s="45" t="s">
        <v>18</v>
      </c>
      <c r="W94" s="45" t="s">
        <v>18</v>
      </c>
      <c r="X94" s="45" t="s">
        <v>18</v>
      </c>
      <c r="Y94" s="45" t="s">
        <v>18</v>
      </c>
      <c r="Z94" s="45" t="s">
        <v>18</v>
      </c>
      <c r="AA94" s="45"/>
      <c r="AB94" s="45"/>
      <c r="AC94" s="45" t="s">
        <v>18</v>
      </c>
      <c r="AD94" s="45" t="s">
        <v>18</v>
      </c>
      <c r="AE94" s="45" t="s">
        <v>18</v>
      </c>
      <c r="AF94" s="45" t="s">
        <v>18</v>
      </c>
      <c r="AG94" s="45" t="s">
        <v>18</v>
      </c>
      <c r="AH94" s="45"/>
      <c r="AI94" s="45"/>
      <c r="AJ94" s="45" t="s">
        <v>18</v>
      </c>
      <c r="AK94" s="45" t="s">
        <v>18</v>
      </c>
      <c r="AL94" s="45" t="s">
        <v>18</v>
      </c>
      <c r="AM94" s="45" t="s">
        <v>18</v>
      </c>
      <c r="AN94" s="46">
        <v>23</v>
      </c>
      <c r="AO94" s="47">
        <f t="shared" si="15"/>
        <v>23</v>
      </c>
      <c r="AP94" s="47">
        <f t="shared" si="16"/>
        <v>0</v>
      </c>
      <c r="AQ94" s="47">
        <f t="shared" si="17"/>
        <v>0</v>
      </c>
      <c r="AR94" s="47">
        <f t="shared" si="18"/>
        <v>0</v>
      </c>
      <c r="AS94" s="47">
        <f t="shared" si="19"/>
        <v>0</v>
      </c>
      <c r="AT94" s="47">
        <f t="shared" si="20"/>
        <v>0</v>
      </c>
      <c r="AU94" s="47"/>
      <c r="AV94" s="48"/>
      <c r="AW94" s="50">
        <f t="shared" si="23"/>
        <v>0</v>
      </c>
      <c r="AX94" s="52"/>
      <c r="AY94" s="52"/>
      <c r="AZ94" s="52"/>
      <c r="BA94" s="49"/>
      <c r="BB94" s="52">
        <v>-40000</v>
      </c>
      <c r="BC94" s="56">
        <v>8</v>
      </c>
      <c r="BD94" s="56">
        <v>2026</v>
      </c>
      <c r="BE94" s="56" t="s">
        <v>436</v>
      </c>
      <c r="BF94" s="20">
        <v>0</v>
      </c>
    </row>
    <row r="95" spans="1:58" ht="29.1" customHeight="1">
      <c r="A95" s="42">
        <v>88</v>
      </c>
      <c r="B95" s="42" t="s">
        <v>426</v>
      </c>
      <c r="C95" s="56"/>
      <c r="D95" s="66" t="s">
        <v>427</v>
      </c>
      <c r="E95" s="68" t="s">
        <v>428</v>
      </c>
      <c r="F95" s="66" t="s">
        <v>429</v>
      </c>
      <c r="G95" s="69" t="s">
        <v>430</v>
      </c>
      <c r="H95" s="44" t="str">
        <f t="shared" si="21"/>
        <v>LEP23546254</v>
      </c>
      <c r="I95" s="45" t="s">
        <v>18</v>
      </c>
      <c r="J95" s="45" t="s">
        <v>18</v>
      </c>
      <c r="K95" s="45" t="s">
        <v>18</v>
      </c>
      <c r="L95" s="45" t="s">
        <v>18</v>
      </c>
      <c r="M95" s="45"/>
      <c r="N95" s="45"/>
      <c r="O95" s="45" t="s">
        <v>18</v>
      </c>
      <c r="P95" s="45" t="s">
        <v>18</v>
      </c>
      <c r="Q95" s="45" t="s">
        <v>18</v>
      </c>
      <c r="R95" s="45" t="s">
        <v>18</v>
      </c>
      <c r="S95" s="45" t="s">
        <v>18</v>
      </c>
      <c r="T95" s="45"/>
      <c r="U95" s="45"/>
      <c r="V95" s="45" t="s">
        <v>509</v>
      </c>
      <c r="W95" s="45" t="s">
        <v>18</v>
      </c>
      <c r="X95" s="45" t="s">
        <v>18</v>
      </c>
      <c r="Y95" s="45" t="s">
        <v>18</v>
      </c>
      <c r="Z95" s="45" t="s">
        <v>18</v>
      </c>
      <c r="AA95" s="45"/>
      <c r="AB95" s="45"/>
      <c r="AC95" s="45" t="s">
        <v>18</v>
      </c>
      <c r="AD95" s="45" t="s">
        <v>18</v>
      </c>
      <c r="AE95" s="45" t="s">
        <v>18</v>
      </c>
      <c r="AF95" s="45" t="s">
        <v>18</v>
      </c>
      <c r="AG95" s="45" t="s">
        <v>18</v>
      </c>
      <c r="AH95" s="45"/>
      <c r="AI95" s="45"/>
      <c r="AJ95" s="45" t="s">
        <v>18</v>
      </c>
      <c r="AK95" s="45" t="s">
        <v>18</v>
      </c>
      <c r="AL95" s="45" t="s">
        <v>18</v>
      </c>
      <c r="AM95" s="45" t="s">
        <v>18</v>
      </c>
      <c r="AN95" s="46">
        <v>23</v>
      </c>
      <c r="AO95" s="47">
        <f t="shared" si="15"/>
        <v>22.5</v>
      </c>
      <c r="AP95" s="47">
        <f t="shared" si="16"/>
        <v>0</v>
      </c>
      <c r="AQ95" s="47">
        <f t="shared" si="17"/>
        <v>0.5</v>
      </c>
      <c r="AR95" s="47">
        <f t="shared" si="18"/>
        <v>0</v>
      </c>
      <c r="AS95" s="47">
        <f t="shared" si="19"/>
        <v>0</v>
      </c>
      <c r="AT95" s="47">
        <f t="shared" si="20"/>
        <v>0</v>
      </c>
      <c r="AU95" s="47"/>
      <c r="AV95" s="48"/>
      <c r="AW95" s="50">
        <f t="shared" si="23"/>
        <v>0</v>
      </c>
      <c r="AX95" s="52"/>
      <c r="AY95" s="52"/>
      <c r="AZ95" s="52"/>
      <c r="BA95" s="49"/>
      <c r="BB95" s="52">
        <v>-40000</v>
      </c>
      <c r="BC95" s="56">
        <v>8</v>
      </c>
      <c r="BD95" s="56">
        <v>2026</v>
      </c>
      <c r="BE95" s="56" t="s">
        <v>436</v>
      </c>
      <c r="BF95" s="20">
        <v>0</v>
      </c>
    </row>
    <row r="96" spans="1:58" ht="29.1" customHeight="1">
      <c r="A96" s="42">
        <v>89</v>
      </c>
      <c r="B96" s="42" t="s">
        <v>439</v>
      </c>
      <c r="C96" s="56"/>
      <c r="D96" s="66" t="s">
        <v>414</v>
      </c>
      <c r="E96" s="68" t="s">
        <v>74</v>
      </c>
      <c r="F96" s="66" t="s">
        <v>197</v>
      </c>
      <c r="G96" s="69" t="s">
        <v>415</v>
      </c>
      <c r="H96" s="44" t="str">
        <f t="shared" si="21"/>
        <v>LEP23646254</v>
      </c>
      <c r="I96" s="45" t="s">
        <v>18</v>
      </c>
      <c r="J96" s="45" t="s">
        <v>18</v>
      </c>
      <c r="K96" s="45" t="s">
        <v>18</v>
      </c>
      <c r="L96" s="45" t="s">
        <v>18</v>
      </c>
      <c r="M96" s="45" t="s">
        <v>18</v>
      </c>
      <c r="N96" s="45"/>
      <c r="O96" s="45" t="s">
        <v>459</v>
      </c>
      <c r="P96" s="45" t="s">
        <v>18</v>
      </c>
      <c r="Q96" s="45" t="s">
        <v>18</v>
      </c>
      <c r="R96" s="45" t="s">
        <v>18</v>
      </c>
      <c r="S96" s="45" t="s">
        <v>18</v>
      </c>
      <c r="T96" s="45" t="s">
        <v>18</v>
      </c>
      <c r="U96" s="45"/>
      <c r="V96" s="45" t="s">
        <v>18</v>
      </c>
      <c r="W96" s="45" t="s">
        <v>18</v>
      </c>
      <c r="X96" s="45" t="s">
        <v>18</v>
      </c>
      <c r="Y96" s="45" t="s">
        <v>18</v>
      </c>
      <c r="Z96" s="45" t="s">
        <v>18</v>
      </c>
      <c r="AA96" s="45" t="s">
        <v>459</v>
      </c>
      <c r="AB96" s="45"/>
      <c r="AC96" s="45" t="s">
        <v>18</v>
      </c>
      <c r="AD96" s="45" t="s">
        <v>18</v>
      </c>
      <c r="AE96" s="45" t="s">
        <v>18</v>
      </c>
      <c r="AF96" s="45" t="s">
        <v>18</v>
      </c>
      <c r="AG96" s="45" t="s">
        <v>18</v>
      </c>
      <c r="AH96" s="45" t="s">
        <v>18</v>
      </c>
      <c r="AI96" s="45"/>
      <c r="AJ96" s="45" t="s">
        <v>18</v>
      </c>
      <c r="AK96" s="45" t="s">
        <v>18</v>
      </c>
      <c r="AL96" s="45" t="s">
        <v>18</v>
      </c>
      <c r="AM96" s="45" t="s">
        <v>18</v>
      </c>
      <c r="AN96" s="46">
        <v>27</v>
      </c>
      <c r="AO96" s="47">
        <f t="shared" si="15"/>
        <v>25</v>
      </c>
      <c r="AP96" s="47">
        <f t="shared" si="16"/>
        <v>0</v>
      </c>
      <c r="AQ96" s="47">
        <f t="shared" si="17"/>
        <v>2</v>
      </c>
      <c r="AR96" s="47">
        <f t="shared" si="18"/>
        <v>0</v>
      </c>
      <c r="AS96" s="47">
        <f t="shared" si="19"/>
        <v>0</v>
      </c>
      <c r="AT96" s="47">
        <f t="shared" si="20"/>
        <v>0</v>
      </c>
      <c r="AU96" s="47"/>
      <c r="AV96" s="48"/>
      <c r="AW96" s="50">
        <f t="shared" si="23"/>
        <v>985425</v>
      </c>
      <c r="AX96" s="50">
        <f>500000*(1-IF(COUNTIF(J96:AM96,"UL")&gt;=2,IF(COUNTIF(J96:AM96,"UL")&gt;=3,1,0.5),0))</f>
        <v>250000</v>
      </c>
      <c r="AY96" s="52"/>
      <c r="AZ96" s="52"/>
      <c r="BA96" s="49"/>
      <c r="BB96" s="52">
        <v>-40000</v>
      </c>
      <c r="BC96" s="56">
        <v>8</v>
      </c>
      <c r="BD96" s="56">
        <v>2026</v>
      </c>
      <c r="BE96" s="56" t="s">
        <v>436</v>
      </c>
      <c r="BF96" s="20">
        <v>1064259</v>
      </c>
    </row>
    <row r="97" spans="1:58" ht="29.1" customHeight="1">
      <c r="A97" s="42">
        <v>90</v>
      </c>
      <c r="B97" s="42" t="s">
        <v>452</v>
      </c>
      <c r="C97" s="56"/>
      <c r="D97" s="66" t="s">
        <v>442</v>
      </c>
      <c r="E97" s="68" t="s">
        <v>74</v>
      </c>
      <c r="F97" s="66" t="s">
        <v>49</v>
      </c>
      <c r="G97" s="69" t="s">
        <v>447</v>
      </c>
      <c r="H97" s="44" t="str">
        <f t="shared" si="21"/>
        <v>LEP23746254</v>
      </c>
      <c r="I97" s="45">
        <v>0</v>
      </c>
      <c r="J97" s="45" t="s">
        <v>18</v>
      </c>
      <c r="K97" s="45" t="s">
        <v>18</v>
      </c>
      <c r="L97" s="45" t="s">
        <v>18</v>
      </c>
      <c r="M97" s="45" t="s">
        <v>18</v>
      </c>
      <c r="N97" s="45"/>
      <c r="O97" s="45" t="s">
        <v>18</v>
      </c>
      <c r="P97" s="45" t="s">
        <v>18</v>
      </c>
      <c r="Q97" s="45" t="s">
        <v>18</v>
      </c>
      <c r="R97" s="45" t="s">
        <v>18</v>
      </c>
      <c r="S97" s="45" t="s">
        <v>18</v>
      </c>
      <c r="T97" s="45" t="s">
        <v>18</v>
      </c>
      <c r="U97" s="45"/>
      <c r="V97" s="45" t="s">
        <v>18</v>
      </c>
      <c r="W97" s="45" t="s">
        <v>18</v>
      </c>
      <c r="X97" s="45" t="s">
        <v>18</v>
      </c>
      <c r="Y97" s="45" t="s">
        <v>18</v>
      </c>
      <c r="Z97" s="45" t="s">
        <v>18</v>
      </c>
      <c r="AA97" s="45" t="s">
        <v>18</v>
      </c>
      <c r="AB97" s="45"/>
      <c r="AC97" s="45" t="s">
        <v>18</v>
      </c>
      <c r="AD97" s="45" t="s">
        <v>18</v>
      </c>
      <c r="AE97" s="45" t="s">
        <v>18</v>
      </c>
      <c r="AF97" s="45" t="s">
        <v>459</v>
      </c>
      <c r="AG97" s="45" t="s">
        <v>18</v>
      </c>
      <c r="AH97" s="45" t="s">
        <v>18</v>
      </c>
      <c r="AI97" s="45"/>
      <c r="AJ97" s="45" t="s">
        <v>18</v>
      </c>
      <c r="AK97" s="45" t="s">
        <v>18</v>
      </c>
      <c r="AL97" s="45" t="s">
        <v>18</v>
      </c>
      <c r="AM97" s="45" t="s">
        <v>18</v>
      </c>
      <c r="AN97" s="46">
        <v>27</v>
      </c>
      <c r="AO97" s="47">
        <f t="shared" si="15"/>
        <v>25</v>
      </c>
      <c r="AP97" s="47">
        <f t="shared" si="16"/>
        <v>0</v>
      </c>
      <c r="AQ97" s="47">
        <f t="shared" si="17"/>
        <v>1</v>
      </c>
      <c r="AR97" s="47">
        <f t="shared" si="18"/>
        <v>0</v>
      </c>
      <c r="AS97" s="47">
        <f t="shared" si="19"/>
        <v>0</v>
      </c>
      <c r="AT97" s="47">
        <f t="shared" si="20"/>
        <v>0</v>
      </c>
      <c r="AU97" s="47"/>
      <c r="AV97" s="48"/>
      <c r="AW97" s="50">
        <f t="shared" si="23"/>
        <v>925925.92592592596</v>
      </c>
      <c r="AX97" s="50">
        <f>500000*(1-IF(COUNTIF(J97:AM97,"UL")&gt;=2,IF(COUNTIF(J97:AM97,"UL")&gt;=3,1,0.5),0))</f>
        <v>500000</v>
      </c>
      <c r="AY97" s="52"/>
      <c r="AZ97" s="52"/>
      <c r="BA97" s="49"/>
      <c r="BB97" s="52">
        <v>-40000</v>
      </c>
      <c r="BC97" s="56">
        <v>8</v>
      </c>
      <c r="BD97" s="56">
        <v>2026</v>
      </c>
      <c r="BE97" s="56" t="s">
        <v>435</v>
      </c>
      <c r="BF97" s="20">
        <v>1000000</v>
      </c>
    </row>
    <row r="98" spans="1:58" ht="29.1" customHeight="1">
      <c r="A98" s="42">
        <v>91</v>
      </c>
      <c r="B98" s="42" t="s">
        <v>490</v>
      </c>
      <c r="C98" s="56"/>
      <c r="D98" s="66" t="s">
        <v>491</v>
      </c>
      <c r="E98" s="68" t="s">
        <v>74</v>
      </c>
      <c r="F98" s="66" t="s">
        <v>48</v>
      </c>
      <c r="G98" s="69" t="s">
        <v>492</v>
      </c>
      <c r="H98" s="44" t="str">
        <f t="shared" si="21"/>
        <v>LEP23946254</v>
      </c>
      <c r="I98" s="45">
        <v>0</v>
      </c>
      <c r="J98" s="45">
        <v>0</v>
      </c>
      <c r="K98" s="45">
        <v>0</v>
      </c>
      <c r="L98" s="45">
        <v>0</v>
      </c>
      <c r="M98" s="45">
        <v>0</v>
      </c>
      <c r="N98" s="45"/>
      <c r="O98" s="45">
        <v>0</v>
      </c>
      <c r="P98" s="45">
        <v>0</v>
      </c>
      <c r="Q98" s="45">
        <v>0</v>
      </c>
      <c r="R98" s="45">
        <v>0</v>
      </c>
      <c r="S98" s="45">
        <v>0</v>
      </c>
      <c r="T98" s="45">
        <v>0</v>
      </c>
      <c r="U98" s="45"/>
      <c r="V98" s="45">
        <v>0</v>
      </c>
      <c r="W98" s="45" t="s">
        <v>18</v>
      </c>
      <c r="X98" s="45" t="s">
        <v>18</v>
      </c>
      <c r="Y98" s="45" t="s">
        <v>18</v>
      </c>
      <c r="Z98" s="45" t="s">
        <v>18</v>
      </c>
      <c r="AA98" s="45" t="s">
        <v>459</v>
      </c>
      <c r="AB98" s="45"/>
      <c r="AC98" s="45" t="s">
        <v>18</v>
      </c>
      <c r="AD98" s="45" t="s">
        <v>18</v>
      </c>
      <c r="AE98" s="45" t="s">
        <v>459</v>
      </c>
      <c r="AF98" s="45" t="s">
        <v>18</v>
      </c>
      <c r="AG98" s="45" t="s">
        <v>18</v>
      </c>
      <c r="AH98" s="45" t="s">
        <v>18</v>
      </c>
      <c r="AI98" s="45"/>
      <c r="AJ98" s="45" t="s">
        <v>18</v>
      </c>
      <c r="AK98" s="45" t="s">
        <v>18</v>
      </c>
      <c r="AL98" s="45" t="s">
        <v>18</v>
      </c>
      <c r="AM98" s="45" t="s">
        <v>18</v>
      </c>
      <c r="AN98" s="46">
        <v>27</v>
      </c>
      <c r="AO98" s="47">
        <f t="shared" si="15"/>
        <v>13</v>
      </c>
      <c r="AP98" s="47">
        <f t="shared" si="16"/>
        <v>0</v>
      </c>
      <c r="AQ98" s="47">
        <f t="shared" si="17"/>
        <v>2</v>
      </c>
      <c r="AR98" s="47">
        <f t="shared" si="18"/>
        <v>0</v>
      </c>
      <c r="AS98" s="47">
        <f t="shared" si="19"/>
        <v>0</v>
      </c>
      <c r="AT98" s="47">
        <f t="shared" si="20"/>
        <v>0</v>
      </c>
      <c r="AU98" s="47"/>
      <c r="AV98" s="48"/>
      <c r="AW98" s="50">
        <f t="shared" si="23"/>
        <v>502401.37037037039</v>
      </c>
      <c r="AX98" s="50">
        <f>500000*(1-IF(COUNTIF(J98:AM98,"UL")&gt;=2,IF(COUNTIF(J98:AM98,"UL")&gt;=3,1,0.5),0))</f>
        <v>250000</v>
      </c>
      <c r="AY98" s="52"/>
      <c r="AZ98" s="52"/>
      <c r="BA98" s="49"/>
      <c r="BB98" s="52">
        <v>-40000</v>
      </c>
      <c r="BC98" s="56">
        <v>8</v>
      </c>
      <c r="BD98" s="56">
        <v>2026</v>
      </c>
      <c r="BE98" s="56"/>
      <c r="BF98" s="20">
        <v>1043449</v>
      </c>
    </row>
    <row r="99" spans="1:58" ht="29.1" customHeight="1">
      <c r="A99" s="42">
        <v>92</v>
      </c>
      <c r="B99" s="42" t="s">
        <v>493</v>
      </c>
      <c r="C99" s="56"/>
      <c r="D99" s="66" t="s">
        <v>494</v>
      </c>
      <c r="E99" s="68" t="s">
        <v>74</v>
      </c>
      <c r="F99" s="66" t="s">
        <v>48</v>
      </c>
      <c r="G99" s="69" t="s">
        <v>449</v>
      </c>
      <c r="H99" s="44" t="str">
        <f t="shared" si="21"/>
        <v>LEP24046254</v>
      </c>
      <c r="I99" s="45">
        <v>0</v>
      </c>
      <c r="J99" s="45">
        <v>0</v>
      </c>
      <c r="K99" s="45">
        <v>0</v>
      </c>
      <c r="L99" s="45">
        <v>0</v>
      </c>
      <c r="M99" s="45">
        <v>0</v>
      </c>
      <c r="N99" s="45"/>
      <c r="O99" s="45">
        <v>0</v>
      </c>
      <c r="P99" s="45">
        <v>0</v>
      </c>
      <c r="Q99" s="45">
        <v>0</v>
      </c>
      <c r="R99" s="45">
        <v>0</v>
      </c>
      <c r="S99" s="45">
        <v>0</v>
      </c>
      <c r="T99" s="45">
        <v>0</v>
      </c>
      <c r="U99" s="45"/>
      <c r="V99" s="45" t="s">
        <v>18</v>
      </c>
      <c r="W99" s="45" t="s">
        <v>459</v>
      </c>
      <c r="X99" s="45" t="s">
        <v>18</v>
      </c>
      <c r="Y99" s="45" t="s">
        <v>18</v>
      </c>
      <c r="Z99" s="45" t="s">
        <v>18</v>
      </c>
      <c r="AA99" s="45" t="s">
        <v>18</v>
      </c>
      <c r="AB99" s="45"/>
      <c r="AC99" s="45" t="s">
        <v>18</v>
      </c>
      <c r="AD99" s="45" t="s">
        <v>18</v>
      </c>
      <c r="AE99" s="45" t="s">
        <v>18</v>
      </c>
      <c r="AF99" s="45" t="s">
        <v>459</v>
      </c>
      <c r="AG99" s="45" t="s">
        <v>459</v>
      </c>
      <c r="AH99" s="45" t="s">
        <v>459</v>
      </c>
      <c r="AI99" s="45"/>
      <c r="AJ99" s="45" t="s">
        <v>459</v>
      </c>
      <c r="AK99" s="45" t="s">
        <v>459</v>
      </c>
      <c r="AL99" s="45" t="s">
        <v>459</v>
      </c>
      <c r="AM99" s="45" t="s">
        <v>459</v>
      </c>
      <c r="AN99" s="46">
        <v>27</v>
      </c>
      <c r="AO99" s="47">
        <f t="shared" si="15"/>
        <v>8</v>
      </c>
      <c r="AP99" s="47">
        <f t="shared" si="16"/>
        <v>0</v>
      </c>
      <c r="AQ99" s="47">
        <f t="shared" si="17"/>
        <v>8</v>
      </c>
      <c r="AR99" s="47">
        <f t="shared" si="18"/>
        <v>0</v>
      </c>
      <c r="AS99" s="47">
        <f t="shared" si="19"/>
        <v>0</v>
      </c>
      <c r="AT99" s="47">
        <f t="shared" si="20"/>
        <v>0</v>
      </c>
      <c r="AU99" s="47"/>
      <c r="AV99" s="48"/>
      <c r="AW99" s="50">
        <f t="shared" si="23"/>
        <v>309170.0740740741</v>
      </c>
      <c r="AX99" s="50">
        <f>500000*(1-IF(COUNTIF(J99:AM99,"UL")&gt;=2,IF(COUNTIF(J99:AM99,"UL")&gt;=3,1,0.5),0))</f>
        <v>0</v>
      </c>
      <c r="AY99" s="52"/>
      <c r="AZ99" s="52"/>
      <c r="BA99" s="49"/>
      <c r="BB99" s="52">
        <v>-40000</v>
      </c>
      <c r="BC99" s="56">
        <v>8</v>
      </c>
      <c r="BD99" s="56">
        <v>2026</v>
      </c>
      <c r="BE99" s="56"/>
      <c r="BF99" s="20">
        <v>1043449</v>
      </c>
    </row>
    <row r="100" spans="1:58" ht="29.1" customHeight="1">
      <c r="A100" s="42">
        <v>93</v>
      </c>
      <c r="B100" s="42" t="s">
        <v>454</v>
      </c>
      <c r="C100" s="56"/>
      <c r="D100" s="66" t="s">
        <v>444</v>
      </c>
      <c r="E100" s="68" t="s">
        <v>79</v>
      </c>
      <c r="F100" s="66" t="s">
        <v>45</v>
      </c>
      <c r="G100" s="69" t="s">
        <v>449</v>
      </c>
      <c r="H100" s="44" t="str">
        <f t="shared" si="21"/>
        <v>LEP24146254</v>
      </c>
      <c r="I100" s="45">
        <v>0</v>
      </c>
      <c r="J100" s="45">
        <v>0</v>
      </c>
      <c r="K100" s="45">
        <v>0</v>
      </c>
      <c r="L100" s="45">
        <v>0</v>
      </c>
      <c r="M100" s="45">
        <v>0</v>
      </c>
      <c r="N100" s="45"/>
      <c r="O100" s="45">
        <v>0</v>
      </c>
      <c r="P100" s="45">
        <v>0</v>
      </c>
      <c r="Q100" s="45">
        <v>0</v>
      </c>
      <c r="R100" s="45">
        <v>0</v>
      </c>
      <c r="S100" s="45">
        <v>0</v>
      </c>
      <c r="T100" s="45">
        <v>0</v>
      </c>
      <c r="U100" s="45"/>
      <c r="V100" s="101" t="s">
        <v>18</v>
      </c>
      <c r="W100" s="45" t="s">
        <v>18</v>
      </c>
      <c r="X100" s="45" t="s">
        <v>18</v>
      </c>
      <c r="Y100" s="45" t="s">
        <v>18</v>
      </c>
      <c r="Z100" s="45" t="s">
        <v>18</v>
      </c>
      <c r="AA100" s="45"/>
      <c r="AB100" s="45"/>
      <c r="AC100" s="45" t="s">
        <v>18</v>
      </c>
      <c r="AD100" s="45" t="s">
        <v>18</v>
      </c>
      <c r="AE100" s="45" t="s">
        <v>18</v>
      </c>
      <c r="AF100" s="45" t="s">
        <v>18</v>
      </c>
      <c r="AG100" s="45" t="s">
        <v>18</v>
      </c>
      <c r="AH100" s="45"/>
      <c r="AI100" s="45"/>
      <c r="AJ100" s="45" t="s">
        <v>18</v>
      </c>
      <c r="AK100" s="45" t="s">
        <v>18</v>
      </c>
      <c r="AL100" s="45" t="s">
        <v>18</v>
      </c>
      <c r="AM100" s="45" t="s">
        <v>18</v>
      </c>
      <c r="AN100" s="46">
        <v>23</v>
      </c>
      <c r="AO100" s="47">
        <f t="shared" si="15"/>
        <v>14</v>
      </c>
      <c r="AP100" s="47">
        <f t="shared" si="16"/>
        <v>0</v>
      </c>
      <c r="AQ100" s="47">
        <f t="shared" si="17"/>
        <v>0</v>
      </c>
      <c r="AR100" s="47">
        <f t="shared" si="18"/>
        <v>0</v>
      </c>
      <c r="AS100" s="47">
        <f t="shared" si="19"/>
        <v>0</v>
      </c>
      <c r="AT100" s="47">
        <f t="shared" si="20"/>
        <v>0</v>
      </c>
      <c r="AU100" s="47"/>
      <c r="AV100" s="48"/>
      <c r="AW100" s="50">
        <f t="shared" si="23"/>
        <v>0</v>
      </c>
      <c r="AX100" s="50"/>
      <c r="AY100" s="52"/>
      <c r="AZ100" s="52"/>
      <c r="BA100" s="49"/>
      <c r="BB100" s="52">
        <v>-40000</v>
      </c>
      <c r="BC100" s="56">
        <v>8</v>
      </c>
      <c r="BD100" s="56">
        <v>2026</v>
      </c>
      <c r="BE100" s="56" t="s">
        <v>435</v>
      </c>
      <c r="BF100" s="20">
        <v>0</v>
      </c>
    </row>
    <row r="101" spans="1:58" ht="29.1" customHeight="1">
      <c r="A101" s="42">
        <v>94</v>
      </c>
      <c r="B101" s="42" t="s">
        <v>488</v>
      </c>
      <c r="C101" s="56"/>
      <c r="D101" s="66" t="s">
        <v>489</v>
      </c>
      <c r="E101" s="68" t="s">
        <v>74</v>
      </c>
      <c r="F101" s="66" t="s">
        <v>49</v>
      </c>
      <c r="G101" s="69" t="s">
        <v>449</v>
      </c>
      <c r="H101" s="44" t="str">
        <f t="shared" si="21"/>
        <v>LEP24246254</v>
      </c>
      <c r="I101" s="45">
        <v>0</v>
      </c>
      <c r="J101" s="45">
        <v>0</v>
      </c>
      <c r="K101" s="45">
        <v>0</v>
      </c>
      <c r="L101" s="45">
        <v>0</v>
      </c>
      <c r="M101" s="45">
        <v>0</v>
      </c>
      <c r="N101" s="45"/>
      <c r="O101" s="45">
        <v>0</v>
      </c>
      <c r="P101" s="45">
        <v>0</v>
      </c>
      <c r="Q101" s="45">
        <v>0</v>
      </c>
      <c r="R101" s="45">
        <v>0</v>
      </c>
      <c r="S101" s="45">
        <v>0</v>
      </c>
      <c r="T101" s="45">
        <v>0</v>
      </c>
      <c r="U101" s="45"/>
      <c r="V101" s="45">
        <v>0</v>
      </c>
      <c r="W101" s="45">
        <v>0</v>
      </c>
      <c r="X101" s="45">
        <v>0</v>
      </c>
      <c r="Y101" s="45" t="s">
        <v>18</v>
      </c>
      <c r="Z101" s="45" t="s">
        <v>18</v>
      </c>
      <c r="AA101" s="45" t="s">
        <v>18</v>
      </c>
      <c r="AB101" s="45"/>
      <c r="AC101" s="45" t="s">
        <v>459</v>
      </c>
      <c r="AD101" s="45" t="s">
        <v>18</v>
      </c>
      <c r="AE101" s="45" t="s">
        <v>459</v>
      </c>
      <c r="AF101" s="45" t="s">
        <v>18</v>
      </c>
      <c r="AG101" s="45" t="s">
        <v>18</v>
      </c>
      <c r="AH101" s="45" t="s">
        <v>18</v>
      </c>
      <c r="AI101" s="45"/>
      <c r="AJ101" s="45" t="s">
        <v>459</v>
      </c>
      <c r="AK101" s="45" t="s">
        <v>459</v>
      </c>
      <c r="AL101" s="87" t="s">
        <v>233</v>
      </c>
      <c r="AM101" s="87">
        <v>0</v>
      </c>
      <c r="AN101" s="46">
        <v>27</v>
      </c>
      <c r="AO101" s="47">
        <f t="shared" si="15"/>
        <v>7</v>
      </c>
      <c r="AP101" s="47">
        <f t="shared" si="16"/>
        <v>0</v>
      </c>
      <c r="AQ101" s="47">
        <f t="shared" si="17"/>
        <v>4</v>
      </c>
      <c r="AR101" s="47">
        <f t="shared" si="18"/>
        <v>0</v>
      </c>
      <c r="AS101" s="47">
        <f t="shared" si="19"/>
        <v>0</v>
      </c>
      <c r="AT101" s="47">
        <f t="shared" si="20"/>
        <v>0</v>
      </c>
      <c r="AU101" s="47"/>
      <c r="AV101" s="48"/>
      <c r="AW101" s="50"/>
      <c r="AX101" s="50">
        <f t="shared" ref="AX101:AX107" si="24">500000*(1-IF(COUNTIF(J101:AM101,"UL")&gt;=2,IF(COUNTIF(J101:AM101,"UL")&gt;=3,1,0.5),0))</f>
        <v>0</v>
      </c>
      <c r="AY101" s="52"/>
      <c r="AZ101" s="52"/>
      <c r="BA101" s="49"/>
      <c r="BB101" s="52">
        <v>-40000</v>
      </c>
      <c r="BC101" s="56">
        <v>8</v>
      </c>
      <c r="BD101" s="56">
        <v>2026</v>
      </c>
      <c r="BE101" s="56"/>
      <c r="BF101" s="20">
        <v>1000000</v>
      </c>
    </row>
    <row r="102" spans="1:58" ht="29.1" customHeight="1">
      <c r="A102" s="42">
        <v>95</v>
      </c>
      <c r="B102" s="42" t="s">
        <v>478</v>
      </c>
      <c r="C102" s="56"/>
      <c r="D102" s="66" t="s">
        <v>479</v>
      </c>
      <c r="E102" s="68" t="s">
        <v>74</v>
      </c>
      <c r="F102" s="66" t="s">
        <v>48</v>
      </c>
      <c r="G102" s="69" t="s">
        <v>480</v>
      </c>
      <c r="H102" s="44" t="str">
        <f t="shared" si="21"/>
        <v>LEP24446254</v>
      </c>
      <c r="I102" s="45">
        <v>0</v>
      </c>
      <c r="J102" s="45">
        <v>0</v>
      </c>
      <c r="K102" s="45">
        <v>0</v>
      </c>
      <c r="L102" s="45">
        <v>0</v>
      </c>
      <c r="M102" s="45">
        <v>0</v>
      </c>
      <c r="N102" s="45"/>
      <c r="O102" s="45">
        <v>0</v>
      </c>
      <c r="P102" s="45">
        <v>0</v>
      </c>
      <c r="Q102" s="45">
        <v>0</v>
      </c>
      <c r="R102" s="45">
        <v>0</v>
      </c>
      <c r="S102" s="45">
        <v>0</v>
      </c>
      <c r="T102" s="45">
        <v>0</v>
      </c>
      <c r="U102" s="45"/>
      <c r="V102" s="45">
        <v>0</v>
      </c>
      <c r="W102" s="45">
        <v>0</v>
      </c>
      <c r="X102" s="45">
        <v>0</v>
      </c>
      <c r="Y102" s="45">
        <v>0</v>
      </c>
      <c r="Z102" s="45">
        <v>0</v>
      </c>
      <c r="AA102" s="45">
        <v>0</v>
      </c>
      <c r="AB102" s="45"/>
      <c r="AC102" s="45" t="s">
        <v>18</v>
      </c>
      <c r="AD102" s="45" t="s">
        <v>18</v>
      </c>
      <c r="AE102" s="45" t="s">
        <v>18</v>
      </c>
      <c r="AF102" s="87"/>
      <c r="AG102" s="87"/>
      <c r="AH102" s="87"/>
      <c r="AI102" s="87"/>
      <c r="AJ102" s="87">
        <v>0</v>
      </c>
      <c r="AK102" s="87">
        <v>0</v>
      </c>
      <c r="AL102" s="87">
        <v>0</v>
      </c>
      <c r="AM102" s="87">
        <v>0</v>
      </c>
      <c r="AN102" s="46">
        <v>27</v>
      </c>
      <c r="AO102" s="47">
        <f t="shared" si="15"/>
        <v>3</v>
      </c>
      <c r="AP102" s="47">
        <f t="shared" si="16"/>
        <v>0</v>
      </c>
      <c r="AQ102" s="47">
        <f t="shared" si="17"/>
        <v>0</v>
      </c>
      <c r="AR102" s="47">
        <f t="shared" si="18"/>
        <v>0</v>
      </c>
      <c r="AS102" s="47">
        <f t="shared" si="19"/>
        <v>0</v>
      </c>
      <c r="AT102" s="47">
        <f t="shared" si="20"/>
        <v>0</v>
      </c>
      <c r="AU102" s="47"/>
      <c r="AV102" s="48"/>
      <c r="AW102" s="50">
        <f t="shared" si="23"/>
        <v>0</v>
      </c>
      <c r="AX102" s="50">
        <f t="shared" si="24"/>
        <v>500000</v>
      </c>
      <c r="AY102" s="52"/>
      <c r="AZ102" s="52"/>
      <c r="BA102" s="49"/>
      <c r="BB102" s="52">
        <v>-40000</v>
      </c>
      <c r="BC102" s="56">
        <v>8</v>
      </c>
      <c r="BD102" s="56">
        <v>2026</v>
      </c>
      <c r="BE102" s="56"/>
      <c r="BF102" s="20">
        <v>0</v>
      </c>
    </row>
    <row r="103" spans="1:58" ht="29.1" customHeight="1">
      <c r="A103" s="42">
        <v>96</v>
      </c>
      <c r="B103" s="42" t="s">
        <v>481</v>
      </c>
      <c r="C103" s="56"/>
      <c r="D103" s="66" t="s">
        <v>482</v>
      </c>
      <c r="E103" s="68" t="s">
        <v>74</v>
      </c>
      <c r="F103" s="66" t="s">
        <v>48</v>
      </c>
      <c r="G103" s="69" t="s">
        <v>480</v>
      </c>
      <c r="H103" s="44" t="str">
        <f t="shared" si="21"/>
        <v>LEP24546254</v>
      </c>
      <c r="I103" s="45">
        <v>0</v>
      </c>
      <c r="J103" s="45">
        <v>0</v>
      </c>
      <c r="K103" s="45">
        <v>0</v>
      </c>
      <c r="L103" s="45">
        <v>0</v>
      </c>
      <c r="M103" s="45">
        <v>0</v>
      </c>
      <c r="N103" s="45"/>
      <c r="O103" s="45">
        <v>0</v>
      </c>
      <c r="P103" s="45">
        <v>0</v>
      </c>
      <c r="Q103" s="45">
        <v>0</v>
      </c>
      <c r="R103" s="45">
        <v>0</v>
      </c>
      <c r="S103" s="45">
        <v>0</v>
      </c>
      <c r="T103" s="45">
        <v>0</v>
      </c>
      <c r="U103" s="45"/>
      <c r="V103" s="45">
        <v>0</v>
      </c>
      <c r="W103" s="45">
        <v>0</v>
      </c>
      <c r="X103" s="45">
        <v>0</v>
      </c>
      <c r="Y103" s="45">
        <v>0</v>
      </c>
      <c r="Z103" s="45">
        <v>0</v>
      </c>
      <c r="AA103" s="45">
        <v>0</v>
      </c>
      <c r="AB103" s="45"/>
      <c r="AC103" s="45" t="s">
        <v>18</v>
      </c>
      <c r="AD103" s="45" t="s">
        <v>18</v>
      </c>
      <c r="AE103" s="45" t="s">
        <v>18</v>
      </c>
      <c r="AF103" s="87"/>
      <c r="AG103" s="87"/>
      <c r="AH103" s="87"/>
      <c r="AI103" s="87"/>
      <c r="AJ103" s="87">
        <v>0</v>
      </c>
      <c r="AK103" s="87">
        <v>0</v>
      </c>
      <c r="AL103" s="87">
        <v>0</v>
      </c>
      <c r="AM103" s="87">
        <v>0</v>
      </c>
      <c r="AN103" s="46">
        <v>27</v>
      </c>
      <c r="AO103" s="47">
        <f t="shared" si="15"/>
        <v>3</v>
      </c>
      <c r="AP103" s="47">
        <f t="shared" si="16"/>
        <v>0</v>
      </c>
      <c r="AQ103" s="47">
        <f t="shared" si="17"/>
        <v>0</v>
      </c>
      <c r="AR103" s="47">
        <f t="shared" si="18"/>
        <v>0</v>
      </c>
      <c r="AS103" s="47">
        <f t="shared" si="19"/>
        <v>0</v>
      </c>
      <c r="AT103" s="47">
        <f t="shared" si="20"/>
        <v>0</v>
      </c>
      <c r="AU103" s="47"/>
      <c r="AV103" s="48"/>
      <c r="AW103" s="50">
        <f t="shared" si="23"/>
        <v>0</v>
      </c>
      <c r="AX103" s="50">
        <f t="shared" si="24"/>
        <v>500000</v>
      </c>
      <c r="AY103" s="52"/>
      <c r="AZ103" s="52"/>
      <c r="BA103" s="49"/>
      <c r="BB103" s="52">
        <v>-40000</v>
      </c>
      <c r="BC103" s="56">
        <v>8</v>
      </c>
      <c r="BD103" s="56">
        <v>2026</v>
      </c>
      <c r="BE103" s="56"/>
      <c r="BF103" s="20">
        <v>0</v>
      </c>
    </row>
    <row r="104" spans="1:58" ht="29.1" customHeight="1">
      <c r="A104" s="42">
        <v>97</v>
      </c>
      <c r="B104" s="42" t="s">
        <v>483</v>
      </c>
      <c r="C104" s="56"/>
      <c r="D104" s="66" t="s">
        <v>486</v>
      </c>
      <c r="E104" s="56" t="s">
        <v>77</v>
      </c>
      <c r="F104" s="66" t="s">
        <v>93</v>
      </c>
      <c r="G104" s="69" t="s">
        <v>480</v>
      </c>
      <c r="H104" s="44" t="str">
        <f t="shared" si="21"/>
        <v>LEP24646254</v>
      </c>
      <c r="I104" s="45">
        <v>0</v>
      </c>
      <c r="J104" s="45">
        <v>0</v>
      </c>
      <c r="K104" s="45">
        <v>0</v>
      </c>
      <c r="L104" s="45">
        <v>0</v>
      </c>
      <c r="M104" s="45">
        <v>0</v>
      </c>
      <c r="N104" s="45"/>
      <c r="O104" s="45">
        <v>0</v>
      </c>
      <c r="P104" s="45">
        <v>0</v>
      </c>
      <c r="Q104" s="45">
        <v>0</v>
      </c>
      <c r="R104" s="45">
        <v>0</v>
      </c>
      <c r="S104" s="45">
        <v>0</v>
      </c>
      <c r="T104" s="45">
        <v>0</v>
      </c>
      <c r="U104" s="45"/>
      <c r="V104" s="45">
        <v>0</v>
      </c>
      <c r="W104" s="45">
        <v>0</v>
      </c>
      <c r="X104" s="45">
        <v>0</v>
      </c>
      <c r="Y104" s="45">
        <v>0</v>
      </c>
      <c r="Z104" s="45">
        <v>0</v>
      </c>
      <c r="AA104" s="45">
        <v>0</v>
      </c>
      <c r="AB104" s="45"/>
      <c r="AC104" s="45" t="s">
        <v>18</v>
      </c>
      <c r="AD104" s="45" t="s">
        <v>18</v>
      </c>
      <c r="AE104" s="45" t="s">
        <v>18</v>
      </c>
      <c r="AF104" s="45" t="s">
        <v>18</v>
      </c>
      <c r="AG104" s="45" t="s">
        <v>18</v>
      </c>
      <c r="AH104" s="45" t="s">
        <v>18</v>
      </c>
      <c r="AI104" s="45"/>
      <c r="AJ104" s="45" t="s">
        <v>18</v>
      </c>
      <c r="AK104" s="45" t="s">
        <v>18</v>
      </c>
      <c r="AL104" s="45" t="s">
        <v>18</v>
      </c>
      <c r="AM104" s="45" t="s">
        <v>18</v>
      </c>
      <c r="AN104" s="46">
        <v>27</v>
      </c>
      <c r="AO104" s="47">
        <f t="shared" ref="AO104:AO109" si="25">COUNTIF(I104:AM104,"W")+COUNTIF(I104:AM104,"W/2 AL/2")*0.5+COUNTIF(I104:AM104,"BT")+COUNTIF(I104:AM104,"N")++COUNTIF(I104:AM104,"W/2 UL/2")*0.5</f>
        <v>10</v>
      </c>
      <c r="AP104" s="47">
        <f t="shared" ref="AP104:AP109" si="26">COUNTIF(I104:AM104,"AL")+COUNTIF(I104:AM104,"W/2 AL/2")*0.5+COUNTIF(I104:AM104,"AL/2 UL/2")*0.5</f>
        <v>0</v>
      </c>
      <c r="AQ104" s="47">
        <f t="shared" ref="AQ104:AQ109" si="27">COUNTIF(I104:AM104,"UL")+COUNTIF(I104:AM104,"W/2 UL/2")*0.5+COUNTIF(I104:AM104,"AL/2 UL/2")*0.5</f>
        <v>0</v>
      </c>
      <c r="AR104" s="47">
        <f t="shared" ref="AR104:AR109" si="28">COUNTIF(I104:AM104,"PH")</f>
        <v>0</v>
      </c>
      <c r="AS104" s="47">
        <f t="shared" ref="AS104:AS109" si="29">COUNTIF(I104:AM104,"SL")</f>
        <v>0</v>
      </c>
      <c r="AT104" s="47">
        <f t="shared" ref="AT104:AT109" si="30">COUNTIF(I104:AM104,"PL")</f>
        <v>0</v>
      </c>
      <c r="AU104" s="47"/>
      <c r="AV104" s="48"/>
      <c r="AW104" s="50">
        <f t="shared" si="23"/>
        <v>370370.37037037039</v>
      </c>
      <c r="AX104" s="50">
        <f t="shared" si="24"/>
        <v>500000</v>
      </c>
      <c r="AY104" s="52"/>
      <c r="AZ104" s="52"/>
      <c r="BA104" s="49"/>
      <c r="BB104" s="52">
        <v>-40000</v>
      </c>
      <c r="BC104" s="56">
        <v>8</v>
      </c>
      <c r="BD104" s="56">
        <v>2026</v>
      </c>
      <c r="BE104" s="56"/>
      <c r="BF104" s="20">
        <v>1000000</v>
      </c>
    </row>
    <row r="105" spans="1:58" ht="29.1" customHeight="1">
      <c r="A105" s="42">
        <v>98</v>
      </c>
      <c r="B105" s="42" t="s">
        <v>487</v>
      </c>
      <c r="C105" s="56"/>
      <c r="D105" s="66" t="s">
        <v>484</v>
      </c>
      <c r="E105" s="68" t="s">
        <v>74</v>
      </c>
      <c r="F105" s="66" t="s">
        <v>48</v>
      </c>
      <c r="G105" s="69" t="s">
        <v>485</v>
      </c>
      <c r="H105" s="44" t="str">
        <f t="shared" si="21"/>
        <v>LEP24846254</v>
      </c>
      <c r="I105" s="45">
        <v>0</v>
      </c>
      <c r="J105" s="45">
        <v>0</v>
      </c>
      <c r="K105" s="45">
        <v>0</v>
      </c>
      <c r="L105" s="45">
        <v>0</v>
      </c>
      <c r="M105" s="45">
        <v>0</v>
      </c>
      <c r="N105" s="45"/>
      <c r="O105" s="45">
        <v>0</v>
      </c>
      <c r="P105" s="45">
        <v>0</v>
      </c>
      <c r="Q105" s="45">
        <v>0</v>
      </c>
      <c r="R105" s="45">
        <v>0</v>
      </c>
      <c r="S105" s="45">
        <v>0</v>
      </c>
      <c r="T105" s="45">
        <v>0</v>
      </c>
      <c r="U105" s="45"/>
      <c r="V105" s="45">
        <v>0</v>
      </c>
      <c r="W105" s="45">
        <v>0</v>
      </c>
      <c r="X105" s="45">
        <v>0</v>
      </c>
      <c r="Y105" s="45">
        <v>0</v>
      </c>
      <c r="Z105" s="45">
        <v>0</v>
      </c>
      <c r="AA105" s="45">
        <v>0</v>
      </c>
      <c r="AB105" s="45"/>
      <c r="AC105" s="45">
        <v>0</v>
      </c>
      <c r="AD105" s="45" t="s">
        <v>18</v>
      </c>
      <c r="AE105" s="45" t="s">
        <v>18</v>
      </c>
      <c r="AF105" s="45" t="s">
        <v>459</v>
      </c>
      <c r="AG105" s="45" t="s">
        <v>18</v>
      </c>
      <c r="AH105" s="45" t="s">
        <v>18</v>
      </c>
      <c r="AI105" s="45"/>
      <c r="AJ105" s="45" t="s">
        <v>18</v>
      </c>
      <c r="AK105" s="45" t="s">
        <v>459</v>
      </c>
      <c r="AL105" s="87" t="s">
        <v>233</v>
      </c>
      <c r="AM105" s="87">
        <v>0</v>
      </c>
      <c r="AN105" s="46">
        <v>27</v>
      </c>
      <c r="AO105" s="47">
        <f t="shared" si="25"/>
        <v>5</v>
      </c>
      <c r="AP105" s="47">
        <f t="shared" si="26"/>
        <v>0</v>
      </c>
      <c r="AQ105" s="47">
        <f t="shared" si="27"/>
        <v>2</v>
      </c>
      <c r="AR105" s="47">
        <f t="shared" si="28"/>
        <v>0</v>
      </c>
      <c r="AS105" s="47">
        <f t="shared" si="29"/>
        <v>0</v>
      </c>
      <c r="AT105" s="47">
        <f t="shared" si="30"/>
        <v>0</v>
      </c>
      <c r="AU105" s="47"/>
      <c r="AV105" s="48"/>
      <c r="AW105" s="50"/>
      <c r="AX105" s="50">
        <f t="shared" si="24"/>
        <v>250000</v>
      </c>
      <c r="AY105" s="52"/>
      <c r="AZ105" s="52"/>
      <c r="BA105" s="49"/>
      <c r="BB105" s="52">
        <v>-40000</v>
      </c>
      <c r="BC105" s="56">
        <v>8</v>
      </c>
      <c r="BD105" s="56">
        <v>2026</v>
      </c>
      <c r="BE105" s="56"/>
      <c r="BF105" s="20">
        <v>1043449</v>
      </c>
    </row>
    <row r="106" spans="1:58" ht="29.1" customHeight="1">
      <c r="A106" s="42">
        <v>99</v>
      </c>
      <c r="B106" s="42" t="s">
        <v>495</v>
      </c>
      <c r="C106" s="56"/>
      <c r="D106" s="66" t="s">
        <v>496</v>
      </c>
      <c r="E106" s="68" t="s">
        <v>74</v>
      </c>
      <c r="F106" s="66" t="s">
        <v>48</v>
      </c>
      <c r="G106" s="69" t="s">
        <v>497</v>
      </c>
      <c r="H106" s="44" t="str">
        <f t="shared" si="21"/>
        <v>LEP24946254</v>
      </c>
      <c r="I106" s="45">
        <v>0</v>
      </c>
      <c r="J106" s="45">
        <v>0</v>
      </c>
      <c r="K106" s="45">
        <v>0</v>
      </c>
      <c r="L106" s="45">
        <v>0</v>
      </c>
      <c r="M106" s="45">
        <v>0</v>
      </c>
      <c r="N106" s="45"/>
      <c r="O106" s="45">
        <v>0</v>
      </c>
      <c r="P106" s="45">
        <v>0</v>
      </c>
      <c r="Q106" s="45">
        <v>0</v>
      </c>
      <c r="R106" s="45">
        <v>0</v>
      </c>
      <c r="S106" s="45">
        <v>0</v>
      </c>
      <c r="T106" s="45">
        <v>0</v>
      </c>
      <c r="U106" s="45"/>
      <c r="V106" s="45">
        <v>0</v>
      </c>
      <c r="W106" s="45">
        <v>0</v>
      </c>
      <c r="X106" s="45">
        <v>0</v>
      </c>
      <c r="Y106" s="45">
        <v>0</v>
      </c>
      <c r="Z106" s="45">
        <v>0</v>
      </c>
      <c r="AA106" s="45">
        <v>0</v>
      </c>
      <c r="AB106" s="45"/>
      <c r="AC106" s="45">
        <v>0</v>
      </c>
      <c r="AD106" s="45">
        <v>0</v>
      </c>
      <c r="AE106" s="45">
        <v>0</v>
      </c>
      <c r="AF106" s="45" t="s">
        <v>18</v>
      </c>
      <c r="AG106" s="45" t="s">
        <v>18</v>
      </c>
      <c r="AH106" s="45" t="s">
        <v>18</v>
      </c>
      <c r="AI106" s="45"/>
      <c r="AJ106" s="45" t="s">
        <v>18</v>
      </c>
      <c r="AK106" s="45" t="s">
        <v>459</v>
      </c>
      <c r="AL106" s="87" t="s">
        <v>233</v>
      </c>
      <c r="AM106" s="87">
        <v>0</v>
      </c>
      <c r="AN106" s="46">
        <v>27</v>
      </c>
      <c r="AO106" s="47">
        <f t="shared" si="25"/>
        <v>4</v>
      </c>
      <c r="AP106" s="47">
        <f t="shared" si="26"/>
        <v>0</v>
      </c>
      <c r="AQ106" s="47">
        <f t="shared" si="27"/>
        <v>1</v>
      </c>
      <c r="AR106" s="47">
        <f t="shared" si="28"/>
        <v>0</v>
      </c>
      <c r="AS106" s="47">
        <f t="shared" si="29"/>
        <v>0</v>
      </c>
      <c r="AT106" s="47">
        <f t="shared" si="30"/>
        <v>0</v>
      </c>
      <c r="AU106" s="47"/>
      <c r="AV106" s="48"/>
      <c r="AW106" s="50"/>
      <c r="AX106" s="50">
        <f t="shared" si="24"/>
        <v>500000</v>
      </c>
      <c r="AY106" s="52"/>
      <c r="AZ106" s="52"/>
      <c r="BA106" s="49"/>
      <c r="BB106" s="52">
        <v>-40000</v>
      </c>
      <c r="BC106" s="56">
        <v>8</v>
      </c>
      <c r="BD106" s="56">
        <v>2026</v>
      </c>
      <c r="BE106" s="56"/>
      <c r="BF106" s="20">
        <v>1043449</v>
      </c>
    </row>
    <row r="107" spans="1:58" ht="29.1" customHeight="1">
      <c r="A107" s="42">
        <v>100</v>
      </c>
      <c r="B107" s="42" t="s">
        <v>506</v>
      </c>
      <c r="C107" s="56"/>
      <c r="D107" s="66" t="s">
        <v>516</v>
      </c>
      <c r="E107" s="68" t="s">
        <v>74</v>
      </c>
      <c r="F107" s="66" t="s">
        <v>48</v>
      </c>
      <c r="G107" s="69" t="s">
        <v>498</v>
      </c>
      <c r="H107" s="44" t="str">
        <f t="shared" si="21"/>
        <v>LEP25046254</v>
      </c>
      <c r="I107" s="45">
        <v>0</v>
      </c>
      <c r="J107" s="45">
        <v>0</v>
      </c>
      <c r="K107" s="45">
        <v>0</v>
      </c>
      <c r="L107" s="45">
        <v>0</v>
      </c>
      <c r="M107" s="45">
        <v>0</v>
      </c>
      <c r="N107" s="45"/>
      <c r="O107" s="45">
        <v>0</v>
      </c>
      <c r="P107" s="45">
        <v>0</v>
      </c>
      <c r="Q107" s="45">
        <v>0</v>
      </c>
      <c r="R107" s="45">
        <v>0</v>
      </c>
      <c r="S107" s="45">
        <v>0</v>
      </c>
      <c r="T107" s="45">
        <v>0</v>
      </c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 t="s">
        <v>18</v>
      </c>
      <c r="AH107" s="45" t="s">
        <v>18</v>
      </c>
      <c r="AI107" s="45"/>
      <c r="AJ107" s="45" t="s">
        <v>18</v>
      </c>
      <c r="AK107" s="45" t="s">
        <v>18</v>
      </c>
      <c r="AL107" s="45" t="s">
        <v>459</v>
      </c>
      <c r="AM107" s="45" t="s">
        <v>18</v>
      </c>
      <c r="AN107" s="46">
        <v>27</v>
      </c>
      <c r="AO107" s="47">
        <f t="shared" si="25"/>
        <v>5</v>
      </c>
      <c r="AP107" s="47">
        <f t="shared" si="26"/>
        <v>0</v>
      </c>
      <c r="AQ107" s="47">
        <f t="shared" si="27"/>
        <v>1</v>
      </c>
      <c r="AR107" s="47">
        <f t="shared" si="28"/>
        <v>0</v>
      </c>
      <c r="AS107" s="47">
        <f t="shared" si="29"/>
        <v>0</v>
      </c>
      <c r="AT107" s="47">
        <f t="shared" si="30"/>
        <v>0</v>
      </c>
      <c r="AU107" s="47"/>
      <c r="AV107" s="48"/>
      <c r="AW107" s="50">
        <f t="shared" si="23"/>
        <v>193231.29629629629</v>
      </c>
      <c r="AX107" s="50">
        <f t="shared" si="24"/>
        <v>500000</v>
      </c>
      <c r="AY107" s="52"/>
      <c r="AZ107" s="52"/>
      <c r="BA107" s="49"/>
      <c r="BB107" s="52">
        <v>-40000</v>
      </c>
      <c r="BC107" s="56">
        <v>8</v>
      </c>
      <c r="BD107" s="56">
        <v>2026</v>
      </c>
      <c r="BE107" s="56"/>
      <c r="BF107" s="20">
        <v>1043449</v>
      </c>
    </row>
    <row r="108" spans="1:58" ht="29.1" customHeight="1">
      <c r="A108" s="42">
        <v>101</v>
      </c>
      <c r="B108" s="42" t="s">
        <v>517</v>
      </c>
      <c r="C108" s="56"/>
      <c r="D108" s="66" t="s">
        <v>518</v>
      </c>
      <c r="E108" s="68" t="s">
        <v>74</v>
      </c>
      <c r="F108" s="66" t="s">
        <v>19</v>
      </c>
      <c r="G108" s="69" t="s">
        <v>500</v>
      </c>
      <c r="H108" s="44" t="str">
        <f t="shared" si="21"/>
        <v>LEP25946254</v>
      </c>
      <c r="I108" s="45">
        <v>0</v>
      </c>
      <c r="J108" s="45">
        <v>0</v>
      </c>
      <c r="K108" s="45">
        <v>0</v>
      </c>
      <c r="L108" s="45">
        <v>0</v>
      </c>
      <c r="M108" s="45">
        <v>0</v>
      </c>
      <c r="N108" s="45"/>
      <c r="O108" s="45">
        <v>0</v>
      </c>
      <c r="P108" s="45">
        <v>0</v>
      </c>
      <c r="Q108" s="45">
        <v>0</v>
      </c>
      <c r="R108" s="45">
        <v>0</v>
      </c>
      <c r="S108" s="45">
        <v>0</v>
      </c>
      <c r="T108" s="45">
        <v>0</v>
      </c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 t="s">
        <v>18</v>
      </c>
      <c r="AK108" s="45" t="s">
        <v>18</v>
      </c>
      <c r="AL108" s="45" t="s">
        <v>18</v>
      </c>
      <c r="AM108" s="45" t="s">
        <v>18</v>
      </c>
      <c r="AN108" s="46">
        <v>23</v>
      </c>
      <c r="AO108" s="47">
        <f t="shared" si="25"/>
        <v>4</v>
      </c>
      <c r="AP108" s="47">
        <f t="shared" si="26"/>
        <v>0</v>
      </c>
      <c r="AQ108" s="47">
        <f t="shared" si="27"/>
        <v>0</v>
      </c>
      <c r="AR108" s="47">
        <f t="shared" si="28"/>
        <v>0</v>
      </c>
      <c r="AS108" s="47">
        <f t="shared" si="29"/>
        <v>0</v>
      </c>
      <c r="AT108" s="47">
        <f t="shared" si="30"/>
        <v>0</v>
      </c>
      <c r="AU108" s="47"/>
      <c r="AV108" s="48"/>
      <c r="AW108" s="50">
        <f t="shared" si="23"/>
        <v>0</v>
      </c>
      <c r="AX108" s="50"/>
      <c r="AY108" s="52"/>
      <c r="AZ108" s="52"/>
      <c r="BA108" s="49"/>
      <c r="BB108" s="52">
        <v>-40000</v>
      </c>
      <c r="BC108" s="56">
        <v>8</v>
      </c>
      <c r="BD108" s="56">
        <v>2026</v>
      </c>
      <c r="BE108" s="56" t="s">
        <v>519</v>
      </c>
      <c r="BF108" s="20">
        <v>0</v>
      </c>
    </row>
    <row r="109" spans="1:58" ht="29.1" customHeight="1">
      <c r="A109" s="42">
        <v>102</v>
      </c>
      <c r="B109" s="42" t="s">
        <v>453</v>
      </c>
      <c r="C109" s="56"/>
      <c r="D109" s="66" t="s">
        <v>440</v>
      </c>
      <c r="E109" s="68" t="s">
        <v>74</v>
      </c>
      <c r="F109" s="66" t="s">
        <v>197</v>
      </c>
      <c r="G109" s="69" t="s">
        <v>446</v>
      </c>
      <c r="H109" s="44" t="str">
        <f t="shared" si="21"/>
        <v>LEP33646254</v>
      </c>
      <c r="I109" s="45" t="s">
        <v>18</v>
      </c>
      <c r="J109" s="45" t="s">
        <v>18</v>
      </c>
      <c r="K109" s="45" t="s">
        <v>18</v>
      </c>
      <c r="L109" s="45" t="s">
        <v>18</v>
      </c>
      <c r="M109" s="45" t="s">
        <v>18</v>
      </c>
      <c r="N109" s="45"/>
      <c r="O109" s="45" t="s">
        <v>18</v>
      </c>
      <c r="P109" s="45" t="s">
        <v>18</v>
      </c>
      <c r="Q109" s="45" t="s">
        <v>18</v>
      </c>
      <c r="R109" s="45" t="s">
        <v>18</v>
      </c>
      <c r="S109" s="45" t="s">
        <v>18</v>
      </c>
      <c r="T109" s="45" t="s">
        <v>18</v>
      </c>
      <c r="U109" s="45"/>
      <c r="V109" s="45" t="s">
        <v>18</v>
      </c>
      <c r="W109" s="45" t="s">
        <v>18</v>
      </c>
      <c r="X109" s="45" t="s">
        <v>18</v>
      </c>
      <c r="Y109" s="45" t="s">
        <v>18</v>
      </c>
      <c r="Z109" s="45" t="s">
        <v>459</v>
      </c>
      <c r="AA109" s="45" t="s">
        <v>459</v>
      </c>
      <c r="AB109" s="45"/>
      <c r="AC109" s="45" t="s">
        <v>18</v>
      </c>
      <c r="AD109" s="45" t="s">
        <v>459</v>
      </c>
      <c r="AE109" s="45" t="s">
        <v>18</v>
      </c>
      <c r="AF109" s="45" t="s">
        <v>459</v>
      </c>
      <c r="AG109" s="45" t="s">
        <v>18</v>
      </c>
      <c r="AH109" s="45" t="s">
        <v>459</v>
      </c>
      <c r="AI109" s="45"/>
      <c r="AJ109" s="45" t="s">
        <v>18</v>
      </c>
      <c r="AK109" s="45" t="s">
        <v>18</v>
      </c>
      <c r="AL109" s="45" t="s">
        <v>18</v>
      </c>
      <c r="AM109" s="45" t="s">
        <v>459</v>
      </c>
      <c r="AN109" s="46">
        <v>27</v>
      </c>
      <c r="AO109" s="47">
        <f t="shared" si="25"/>
        <v>21</v>
      </c>
      <c r="AP109" s="47">
        <f t="shared" si="26"/>
        <v>0</v>
      </c>
      <c r="AQ109" s="47">
        <f t="shared" si="27"/>
        <v>6</v>
      </c>
      <c r="AR109" s="47">
        <f t="shared" si="28"/>
        <v>0</v>
      </c>
      <c r="AS109" s="47">
        <f t="shared" si="29"/>
        <v>0</v>
      </c>
      <c r="AT109" s="47">
        <f t="shared" si="30"/>
        <v>0</v>
      </c>
      <c r="AU109" s="47"/>
      <c r="AV109" s="48"/>
      <c r="AW109" s="50">
        <f t="shared" si="23"/>
        <v>777777.77777777775</v>
      </c>
      <c r="AX109" s="50">
        <f>500000*(1-IF(COUNTIF(J109:AM109,"UL")&gt;=2,IF(COUNTIF(J109:AM109,"UL")&gt;=3,1,0.5),0))</f>
        <v>0</v>
      </c>
      <c r="AY109" s="52"/>
      <c r="AZ109" s="52"/>
      <c r="BA109" s="49"/>
      <c r="BB109" s="52">
        <v>-40000</v>
      </c>
      <c r="BC109" s="56">
        <v>8</v>
      </c>
      <c r="BD109" s="56">
        <v>2026</v>
      </c>
      <c r="BE109" s="56" t="s">
        <v>520</v>
      </c>
      <c r="BF109" s="20">
        <v>1000000</v>
      </c>
    </row>
  </sheetData>
  <autoFilter ref="A7:BG109" xr:uid="{82FAD525-2147-42FF-8A3D-589504BD34A3}"/>
  <sortState xmlns:xlrd2="http://schemas.microsoft.com/office/spreadsheetml/2017/richdata2" ref="A8:BF109">
    <sortCondition ref="B8:B109"/>
  </sortState>
  <mergeCells count="25">
    <mergeCell ref="F5:F7"/>
    <mergeCell ref="A5:A7"/>
    <mergeCell ref="B5:B7"/>
    <mergeCell ref="C5:C7"/>
    <mergeCell ref="D5:D7"/>
    <mergeCell ref="E5:E7"/>
    <mergeCell ref="G5:G7"/>
    <mergeCell ref="AN5:AN7"/>
    <mergeCell ref="AO5:AO7"/>
    <mergeCell ref="AP5:AP7"/>
    <mergeCell ref="AQ5:AQ7"/>
    <mergeCell ref="AX5:AX7"/>
    <mergeCell ref="AR5:AR7"/>
    <mergeCell ref="AS5:AS7"/>
    <mergeCell ref="AT5:AT7"/>
    <mergeCell ref="AU5:AU7"/>
    <mergeCell ref="AV5:AV7"/>
    <mergeCell ref="AW5:AW7"/>
    <mergeCell ref="BE5:BE7"/>
    <mergeCell ref="AY5:AY7"/>
    <mergeCell ref="AZ5:AZ7"/>
    <mergeCell ref="BA5:BA7"/>
    <mergeCell ref="BB5:BB7"/>
    <mergeCell ref="BC5:BC7"/>
    <mergeCell ref="BD5:BD7"/>
  </mergeCells>
  <phoneticPr fontId="35" type="noConversion"/>
  <conditionalFormatting sqref="D1:D1048576">
    <cfRule type="duplicateValues" dxfId="2" priority="1"/>
    <cfRule type="duplicateValues" dxfId="1" priority="3"/>
  </conditionalFormatting>
  <conditionalFormatting sqref="I1:AM1048576">
    <cfRule type="containsBlanks" dxfId="0" priority="2">
      <formula>LEN(TRIM(I1))=0</formula>
    </cfRule>
  </conditionalFormatting>
  <pageMargins left="0.7" right="0.1" top="0.4" bottom="0.4" header="0.3" footer="0.3"/>
  <pageSetup paperSize="8" scale="45" fitToHeight="2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417F9-8643-4A11-8D16-A558FA8E50CB}">
  <dimension ref="A7:BF7"/>
  <sheetViews>
    <sheetView workbookViewId="0">
      <selection activeCell="I7" sqref="I7:AM7"/>
    </sheetView>
  </sheetViews>
  <sheetFormatPr defaultRowHeight="15"/>
  <cols>
    <col min="2" max="2" width="7.140625" bestFit="1" customWidth="1"/>
    <col min="4" max="4" width="13.42578125" bestFit="1" customWidth="1"/>
    <col min="5" max="5" width="8.42578125" bestFit="1" customWidth="1"/>
    <col min="6" max="6" width="9.28515625" bestFit="1" customWidth="1"/>
    <col min="7" max="7" width="7.85546875" bestFit="1" customWidth="1"/>
    <col min="8" max="8" width="8.140625" bestFit="1" customWidth="1"/>
  </cols>
  <sheetData>
    <row r="7" spans="1:58" s="86" customFormat="1" ht="29.1" customHeight="1">
      <c r="A7" s="42">
        <v>39</v>
      </c>
      <c r="B7" s="76" t="s">
        <v>210</v>
      </c>
      <c r="C7" s="77"/>
      <c r="D7" s="78" t="s">
        <v>214</v>
      </c>
      <c r="E7" s="77" t="s">
        <v>74</v>
      </c>
      <c r="F7" s="79" t="s">
        <v>197</v>
      </c>
      <c r="G7" s="80" t="s">
        <v>208</v>
      </c>
      <c r="H7" s="44" t="str">
        <f>B7&amp;'Working time'!$N$5</f>
        <v>LEP13146229</v>
      </c>
      <c r="I7" s="122" t="s">
        <v>375</v>
      </c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  <c r="AB7" s="123"/>
      <c r="AC7" s="123"/>
      <c r="AD7" s="123"/>
      <c r="AE7" s="123"/>
      <c r="AF7" s="123"/>
      <c r="AG7" s="123"/>
      <c r="AH7" s="123"/>
      <c r="AI7" s="123"/>
      <c r="AJ7" s="123"/>
      <c r="AK7" s="123"/>
      <c r="AL7" s="123"/>
      <c r="AM7" s="124"/>
      <c r="AN7" s="81">
        <v>27</v>
      </c>
      <c r="AO7" s="82">
        <f>COUNTIF(I7:AM7,"W")+COUNTIF(I7:AM7,"W/2 AL/2")*0.5+COUNTIF(I7:AM7,"BT")+COUNTIF(I7:AM7,"N")++COUNTIF(I7:AM7,"W/2 UL/2")*0.5</f>
        <v>0</v>
      </c>
      <c r="AP7" s="82">
        <f>COUNTIF(I7:AM7,"AL")+COUNTIF(I7:AM7,"W/2 AL/2")*0.5+COUNTIF(I7:AM7,"AL/2 UL/2")*0.5</f>
        <v>0</v>
      </c>
      <c r="AQ7" s="82">
        <f>COUNTIF(I7:AM7,"UL")+COUNTIF(I7:AM7,"W/2 UL/2")*0.5+COUNTIF(I7:AM7,"AL/2 UL/2")*0.5</f>
        <v>0</v>
      </c>
      <c r="AR7" s="82">
        <f>COUNTIF(I7:AM7,"PH")</f>
        <v>0</v>
      </c>
      <c r="AS7" s="82">
        <f>COUNTIF(I7:AM7,"SL")</f>
        <v>0</v>
      </c>
      <c r="AT7" s="82">
        <f>COUNTIF(I7:AM7,"PL")</f>
        <v>0</v>
      </c>
      <c r="AU7" s="82"/>
      <c r="AV7" s="83"/>
      <c r="AW7" s="84"/>
      <c r="AX7" s="84">
        <f>(AO7+AP7)*(500000*(1-IF(COUNTIF(J7:AM7,"UL")&gt;=2,IF(COUNTIF(J7:AM7,"UL")&gt;=3,1,0.5),0)))/AN7</f>
        <v>0</v>
      </c>
      <c r="AY7" s="84"/>
      <c r="AZ7" s="84"/>
      <c r="BA7" s="84"/>
      <c r="BB7" s="84"/>
      <c r="BC7" s="77">
        <v>8</v>
      </c>
      <c r="BD7" s="77">
        <v>2026</v>
      </c>
      <c r="BE7" s="77"/>
      <c r="BF7" s="85"/>
    </row>
  </sheetData>
  <mergeCells count="1">
    <mergeCell ref="I7:AM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DA11D-0315-4052-9F48-9C4E7A1959D2}">
  <dimension ref="A1:K165"/>
  <sheetViews>
    <sheetView workbookViewId="0">
      <selection activeCell="D10" sqref="D10"/>
    </sheetView>
  </sheetViews>
  <sheetFormatPr defaultRowHeight="15"/>
  <cols>
    <col min="4" max="4" width="19.140625" bestFit="1" customWidth="1"/>
    <col min="5" max="5" width="10.5703125" bestFit="1" customWidth="1"/>
    <col min="6" max="6" width="18.85546875" bestFit="1" customWidth="1"/>
    <col min="7" max="7" width="23" customWidth="1"/>
    <col min="8" max="8" width="10.140625" bestFit="1" customWidth="1"/>
  </cols>
  <sheetData>
    <row r="1" spans="1:11">
      <c r="A1" s="114" t="s">
        <v>104</v>
      </c>
      <c r="B1" s="106" t="s">
        <v>103</v>
      </c>
      <c r="C1" s="106" t="s">
        <v>0</v>
      </c>
      <c r="D1" s="115" t="s">
        <v>102</v>
      </c>
      <c r="E1" s="115" t="s">
        <v>101</v>
      </c>
      <c r="F1" s="106" t="s">
        <v>100</v>
      </c>
      <c r="G1" s="114" t="s">
        <v>99</v>
      </c>
      <c r="H1" s="70"/>
      <c r="I1" s="70"/>
      <c r="J1" s="70"/>
      <c r="K1" s="70"/>
    </row>
    <row r="2" spans="1:11">
      <c r="A2" s="114"/>
      <c r="B2" s="106"/>
      <c r="C2" s="106"/>
      <c r="D2" s="115"/>
      <c r="E2" s="115"/>
      <c r="F2" s="106"/>
      <c r="G2" s="114"/>
      <c r="H2" s="70"/>
      <c r="I2" s="70"/>
      <c r="J2" s="70"/>
      <c r="K2" s="70"/>
    </row>
    <row r="3" spans="1:11">
      <c r="A3" s="114"/>
      <c r="B3" s="106"/>
      <c r="C3" s="106"/>
      <c r="D3" s="115"/>
      <c r="E3" s="115"/>
      <c r="F3" s="106"/>
      <c r="G3" s="114"/>
      <c r="H3" s="70" t="s">
        <v>457</v>
      </c>
      <c r="I3" s="70" t="s">
        <v>458</v>
      </c>
      <c r="J3" s="70"/>
      <c r="K3" s="70"/>
    </row>
    <row r="4" spans="1:11">
      <c r="A4" s="70"/>
      <c r="B4" s="42" t="s">
        <v>60</v>
      </c>
      <c r="C4" s="70"/>
      <c r="D4" s="43" t="str">
        <f>VLOOKUP(B4,'Working time'!B:D,3,0)</f>
        <v>Nguyễn Đăng Khoa</v>
      </c>
      <c r="E4" s="43" t="str">
        <f>VLOOKUP(B4,'Working time'!B:F,4,0)</f>
        <v>Logistics</v>
      </c>
      <c r="F4" s="43" t="str">
        <f>VLOOKUP(B4,'Working time'!B:F,5,0)</f>
        <v>Logistic Supervisor</v>
      </c>
      <c r="G4" s="44" t="str">
        <f>VLOOKUP(B4,'Working time'!B:G,6,0)</f>
        <v>21/7/2025</v>
      </c>
      <c r="H4" s="93">
        <v>46211</v>
      </c>
      <c r="I4" s="70" t="s">
        <v>376</v>
      </c>
      <c r="J4" s="70">
        <v>1</v>
      </c>
      <c r="K4" s="70"/>
    </row>
    <row r="5" spans="1:11" ht="25.5">
      <c r="A5" s="70"/>
      <c r="B5" s="42" t="s">
        <v>61</v>
      </c>
      <c r="C5" s="70"/>
      <c r="D5" s="43" t="str">
        <f>VLOOKUP(B5,'Working time'!B:D,3,0)</f>
        <v>Trịnh Đình Tâm</v>
      </c>
      <c r="E5" s="43" t="str">
        <f>VLOOKUP(B5,'Working time'!B:F,4,0)</f>
        <v>WH</v>
      </c>
      <c r="F5" s="43" t="str">
        <f>VLOOKUP(B5,'Working time'!B:F,5,0)</f>
        <v>Riveting Forklift Driver</v>
      </c>
      <c r="G5" s="44" t="str">
        <f>VLOOKUP(B5,'Working time'!B:G,6,0)</f>
        <v>4/8/2025</v>
      </c>
      <c r="H5" s="93" t="s">
        <v>466</v>
      </c>
      <c r="I5" s="70" t="s">
        <v>459</v>
      </c>
      <c r="J5" s="70">
        <v>1</v>
      </c>
      <c r="K5" s="70"/>
    </row>
    <row r="6" spans="1:11" ht="25.5">
      <c r="A6" s="70"/>
      <c r="B6" s="42" t="s">
        <v>61</v>
      </c>
      <c r="C6" s="70"/>
      <c r="D6" s="43" t="str">
        <f>VLOOKUP(B6,'Working time'!B:D,3,0)</f>
        <v>Trịnh Đình Tâm</v>
      </c>
      <c r="E6" s="43" t="str">
        <f>VLOOKUP(B6,'Working time'!B:F,4,0)</f>
        <v>WH</v>
      </c>
      <c r="F6" s="43" t="str">
        <f>VLOOKUP(B6,'Working time'!B:F,5,0)</f>
        <v>Riveting Forklift Driver</v>
      </c>
      <c r="G6" s="44" t="str">
        <f>VLOOKUP(B6,'Working time'!B:G,6,0)</f>
        <v>4/8/2025</v>
      </c>
      <c r="H6" s="93">
        <v>46242</v>
      </c>
      <c r="I6" s="70" t="s">
        <v>376</v>
      </c>
      <c r="J6" s="70">
        <v>0.5</v>
      </c>
      <c r="K6" s="70"/>
    </row>
    <row r="7" spans="1:11" ht="25.5">
      <c r="A7" s="70"/>
      <c r="B7" s="42" t="s">
        <v>66</v>
      </c>
      <c r="C7" s="70"/>
      <c r="D7" s="43" t="str">
        <f>VLOOKUP(B7,'Working time'!B:D,3,0)</f>
        <v>Thạch Bạch Tra</v>
      </c>
      <c r="E7" s="43" t="str">
        <f>VLOOKUP(B7,'Working time'!B:F,4,0)</f>
        <v>WH</v>
      </c>
      <c r="F7" s="43" t="str">
        <f>VLOOKUP(B7,'Working time'!B:F,5,0)</f>
        <v>Warehouse Forklift Driver</v>
      </c>
      <c r="G7" s="44" t="str">
        <f>VLOOKUP(B7,'Working time'!B:G,6,0)</f>
        <v>18/8/2025</v>
      </c>
      <c r="H7" s="93" t="s">
        <v>463</v>
      </c>
      <c r="I7" s="70" t="s">
        <v>376</v>
      </c>
      <c r="J7" s="70">
        <v>1</v>
      </c>
      <c r="K7" s="70"/>
    </row>
    <row r="8" spans="1:11" ht="25.5">
      <c r="A8" s="70"/>
      <c r="B8" s="42" t="s">
        <v>66</v>
      </c>
      <c r="C8" s="70"/>
      <c r="D8" s="43" t="str">
        <f>VLOOKUP(B8,'Working time'!B:D,3,0)</f>
        <v>Thạch Bạch Tra</v>
      </c>
      <c r="E8" s="43" t="str">
        <f>VLOOKUP(B8,'Working time'!B:F,4,0)</f>
        <v>WH</v>
      </c>
      <c r="F8" s="43" t="str">
        <f>VLOOKUP(B8,'Working time'!B:F,5,0)</f>
        <v>Warehouse Forklift Driver</v>
      </c>
      <c r="G8" s="44" t="str">
        <f>VLOOKUP(B8,'Working time'!B:G,6,0)</f>
        <v>18/8/2025</v>
      </c>
      <c r="H8" s="93" t="s">
        <v>446</v>
      </c>
      <c r="I8" s="70" t="s">
        <v>459</v>
      </c>
      <c r="J8" s="70">
        <v>0.1</v>
      </c>
      <c r="K8" s="70" t="s">
        <v>476</v>
      </c>
    </row>
    <row r="9" spans="1:11" ht="25.5">
      <c r="A9" s="70"/>
      <c r="B9" s="42" t="s">
        <v>80</v>
      </c>
      <c r="C9" s="70"/>
      <c r="D9" s="43" t="str">
        <f>VLOOKUP(B9,'Working time'!B:D,3,0)</f>
        <v>Nguyễn Vũ Nguyệt Anh</v>
      </c>
      <c r="E9" s="43" t="str">
        <f>VLOOKUP(B9,'Working time'!B:F,4,0)</f>
        <v>QC</v>
      </c>
      <c r="F9" s="43" t="str">
        <f>VLOOKUP(B9,'Working time'!B:F,5,0)</f>
        <v>QC Inspector</v>
      </c>
      <c r="G9" s="44" t="str">
        <f>VLOOKUP(B9,'Working time'!B:G,6,0)</f>
        <v>25/8/2025</v>
      </c>
      <c r="H9" s="93" t="s">
        <v>469</v>
      </c>
      <c r="I9" s="70" t="s">
        <v>459</v>
      </c>
      <c r="J9" s="70">
        <v>1</v>
      </c>
      <c r="K9" s="70"/>
    </row>
    <row r="10" spans="1:11" ht="25.5">
      <c r="A10" s="70"/>
      <c r="B10" s="42" t="s">
        <v>80</v>
      </c>
      <c r="C10" s="70"/>
      <c r="D10" s="43" t="str">
        <f>VLOOKUP(B10,'Working time'!B:D,3,0)</f>
        <v>Nguyễn Vũ Nguyệt Anh</v>
      </c>
      <c r="E10" s="43" t="str">
        <f>VLOOKUP(B10,'Working time'!B:F,4,0)</f>
        <v>QC</v>
      </c>
      <c r="F10" s="43" t="str">
        <f>VLOOKUP(B10,'Working time'!B:F,5,0)</f>
        <v>QC Inspector</v>
      </c>
      <c r="G10" s="44" t="str">
        <f>VLOOKUP(B10,'Working time'!B:G,6,0)</f>
        <v>25/8/2025</v>
      </c>
      <c r="H10" s="93" t="s">
        <v>470</v>
      </c>
      <c r="I10" s="70" t="s">
        <v>459</v>
      </c>
      <c r="J10" s="70">
        <v>1</v>
      </c>
      <c r="K10" s="70"/>
    </row>
    <row r="11" spans="1:11" ht="25.5">
      <c r="A11" s="70"/>
      <c r="B11" s="42" t="s">
        <v>80</v>
      </c>
      <c r="C11" s="70"/>
      <c r="D11" s="43" t="str">
        <f>VLOOKUP(B11,'Working time'!B:D,3,0)</f>
        <v>Nguyễn Vũ Nguyệt Anh</v>
      </c>
      <c r="E11" s="43" t="str">
        <f>VLOOKUP(B11,'Working time'!B:F,4,0)</f>
        <v>QC</v>
      </c>
      <c r="F11" s="43" t="str">
        <f>VLOOKUP(B11,'Working time'!B:F,5,0)</f>
        <v>QC Inspector</v>
      </c>
      <c r="G11" s="44" t="str">
        <f>VLOOKUP(B11,'Working time'!B:G,6,0)</f>
        <v>25/8/2025</v>
      </c>
      <c r="H11" s="93" t="s">
        <v>471</v>
      </c>
      <c r="I11" s="70" t="s">
        <v>459</v>
      </c>
      <c r="J11" s="70">
        <v>1</v>
      </c>
      <c r="K11" s="70"/>
    </row>
    <row r="12" spans="1:11" ht="25.5">
      <c r="A12" s="70"/>
      <c r="B12" s="42" t="s">
        <v>80</v>
      </c>
      <c r="C12" s="70"/>
      <c r="D12" s="43" t="str">
        <f>VLOOKUP(B12,'Working time'!B:D,3,0)</f>
        <v>Nguyễn Vũ Nguyệt Anh</v>
      </c>
      <c r="E12" s="43" t="str">
        <f>VLOOKUP(B12,'Working time'!B:F,4,0)</f>
        <v>QC</v>
      </c>
      <c r="F12" s="43" t="str">
        <f>VLOOKUP(B12,'Working time'!B:F,5,0)</f>
        <v>QC Inspector</v>
      </c>
      <c r="G12" s="44" t="str">
        <f>VLOOKUP(B12,'Working time'!B:G,6,0)</f>
        <v>25/8/2025</v>
      </c>
      <c r="H12" s="93" t="s">
        <v>465</v>
      </c>
      <c r="I12" s="70" t="s">
        <v>459</v>
      </c>
      <c r="J12" s="70">
        <v>1</v>
      </c>
      <c r="K12" s="70"/>
    </row>
    <row r="13" spans="1:11" ht="25.5">
      <c r="A13" s="70"/>
      <c r="B13" s="42" t="s">
        <v>80</v>
      </c>
      <c r="C13" s="70"/>
      <c r="D13" s="43" t="str">
        <f>VLOOKUP(B13,'Working time'!B:D,3,0)</f>
        <v>Nguyễn Vũ Nguyệt Anh</v>
      </c>
      <c r="E13" s="43" t="str">
        <f>VLOOKUP(B13,'Working time'!B:F,4,0)</f>
        <v>QC</v>
      </c>
      <c r="F13" s="43" t="str">
        <f>VLOOKUP(B13,'Working time'!B:F,5,0)</f>
        <v>QC Inspector</v>
      </c>
      <c r="G13" s="44" t="str">
        <f>VLOOKUP(B13,'Working time'!B:G,6,0)</f>
        <v>25/8/2025</v>
      </c>
      <c r="H13" s="93" t="s">
        <v>472</v>
      </c>
      <c r="I13" s="70" t="s">
        <v>459</v>
      </c>
      <c r="J13" s="70">
        <v>1</v>
      </c>
      <c r="K13" s="70"/>
    </row>
    <row r="14" spans="1:11" ht="25.5">
      <c r="A14" s="70"/>
      <c r="B14" s="42" t="s">
        <v>80</v>
      </c>
      <c r="C14" s="70"/>
      <c r="D14" s="43" t="str">
        <f>VLOOKUP(B14,'Working time'!B:D,3,0)</f>
        <v>Nguyễn Vũ Nguyệt Anh</v>
      </c>
      <c r="E14" s="43" t="str">
        <f>VLOOKUP(B14,'Working time'!B:F,4,0)</f>
        <v>QC</v>
      </c>
      <c r="F14" s="43" t="str">
        <f>VLOOKUP(B14,'Working time'!B:F,5,0)</f>
        <v>QC Inspector</v>
      </c>
      <c r="G14" s="44" t="str">
        <f>VLOOKUP(B14,'Working time'!B:G,6,0)</f>
        <v>25/8/2025</v>
      </c>
      <c r="H14" s="93" t="s">
        <v>473</v>
      </c>
      <c r="I14" s="70" t="s">
        <v>376</v>
      </c>
      <c r="J14" s="70">
        <v>1</v>
      </c>
      <c r="K14" s="70"/>
    </row>
    <row r="15" spans="1:11" ht="25.5">
      <c r="A15" s="70"/>
      <c r="B15" s="42" t="s">
        <v>85</v>
      </c>
      <c r="C15" s="70"/>
      <c r="D15" s="43" t="str">
        <f>VLOOKUP(B15,'Working time'!B:D,3,0)</f>
        <v>Nguyễn Phương Nam</v>
      </c>
      <c r="E15" s="43" t="str">
        <f>VLOOKUP(B15,'Working time'!B:F,4,0)</f>
        <v>WH</v>
      </c>
      <c r="F15" s="43" t="str">
        <f>VLOOKUP(B15,'Working time'!B:F,5,0)</f>
        <v>WH Forklift Driver</v>
      </c>
      <c r="G15" s="44" t="str">
        <f>VLOOKUP(B15,'Working time'!B:G,6,0)</f>
        <v>26/8/2025</v>
      </c>
      <c r="H15" s="93">
        <v>46211</v>
      </c>
      <c r="I15" s="70" t="s">
        <v>376</v>
      </c>
      <c r="J15" s="70">
        <v>1</v>
      </c>
      <c r="K15" s="70"/>
    </row>
    <row r="16" spans="1:11" ht="25.5">
      <c r="A16" s="70"/>
      <c r="B16" s="42" t="s">
        <v>85</v>
      </c>
      <c r="C16" s="70"/>
      <c r="D16" s="43" t="str">
        <f>VLOOKUP(B16,'Working time'!B:D,3,0)</f>
        <v>Nguyễn Phương Nam</v>
      </c>
      <c r="E16" s="43" t="str">
        <f>VLOOKUP(B16,'Working time'!B:F,4,0)</f>
        <v>WH</v>
      </c>
      <c r="F16" s="43" t="str">
        <f>VLOOKUP(B16,'Working time'!B:F,5,0)</f>
        <v>WH Forklift Driver</v>
      </c>
      <c r="G16" s="44" t="str">
        <f>VLOOKUP(B16,'Working time'!B:G,6,0)</f>
        <v>26/8/2025</v>
      </c>
      <c r="H16" s="70" t="s">
        <v>475</v>
      </c>
      <c r="I16" s="70" t="s">
        <v>459</v>
      </c>
      <c r="J16" s="70">
        <v>1</v>
      </c>
      <c r="K16" s="70"/>
    </row>
    <row r="17" spans="1:11">
      <c r="A17" s="70"/>
      <c r="B17" s="42" t="s">
        <v>89</v>
      </c>
      <c r="C17" s="70"/>
      <c r="D17" s="43" t="str">
        <f>VLOOKUP(B17,'Working time'!B:D,3,0)</f>
        <v>Dương Tấn Thanh</v>
      </c>
      <c r="E17" s="43" t="str">
        <f>VLOOKUP(B17,'Working time'!B:F,4,0)</f>
        <v>WH</v>
      </c>
      <c r="F17" s="43" t="str">
        <f>VLOOKUP(B17,'Working time'!B:F,5,0)</f>
        <v>WH Operator</v>
      </c>
      <c r="G17" s="44" t="str">
        <f>VLOOKUP(B17,'Working time'!B:G,6,0)</f>
        <v>29/8/2025</v>
      </c>
      <c r="H17" s="93">
        <v>46334</v>
      </c>
      <c r="I17" s="70" t="s">
        <v>376</v>
      </c>
      <c r="J17" s="70">
        <v>1</v>
      </c>
      <c r="K17" s="70"/>
    </row>
    <row r="18" spans="1:11">
      <c r="A18" s="70"/>
      <c r="B18" s="42" t="s">
        <v>90</v>
      </c>
      <c r="C18" s="70"/>
      <c r="D18" s="43" t="str">
        <f>VLOOKUP(B18,'Working time'!B:D,3,0)</f>
        <v>Hà Văn Sáng</v>
      </c>
      <c r="E18" s="43" t="str">
        <f>VLOOKUP(B18,'Working time'!B:F,4,0)</f>
        <v>WH</v>
      </c>
      <c r="F18" s="43" t="str">
        <f>VLOOKUP(B18,'Working time'!B:F,5,0)</f>
        <v>WH Forklift Driver</v>
      </c>
      <c r="G18" s="44">
        <f>VLOOKUP(B18,'Working time'!B:G,6,0)</f>
        <v>45878</v>
      </c>
      <c r="H18" s="93" t="s">
        <v>467</v>
      </c>
      <c r="I18" s="70" t="s">
        <v>376</v>
      </c>
      <c r="J18" s="70">
        <v>1</v>
      </c>
      <c r="K18" s="70"/>
    </row>
    <row r="19" spans="1:11">
      <c r="A19" s="70"/>
      <c r="B19" s="42" t="s">
        <v>90</v>
      </c>
      <c r="C19" s="70"/>
      <c r="D19" s="43" t="str">
        <f>VLOOKUP(B19,'Working time'!B:D,3,0)</f>
        <v>Hà Văn Sáng</v>
      </c>
      <c r="E19" s="43" t="str">
        <f>VLOOKUP(B19,'Working time'!B:F,4,0)</f>
        <v>WH</v>
      </c>
      <c r="F19" s="43" t="str">
        <f>VLOOKUP(B19,'Working time'!B:F,5,0)</f>
        <v>WH Forklift Driver</v>
      </c>
      <c r="G19" s="44">
        <f>VLOOKUP(B19,'Working time'!B:G,6,0)</f>
        <v>45878</v>
      </c>
      <c r="H19" s="70" t="s">
        <v>513</v>
      </c>
      <c r="I19" s="70" t="s">
        <v>376</v>
      </c>
      <c r="J19" s="70">
        <v>1</v>
      </c>
      <c r="K19" s="70"/>
    </row>
    <row r="20" spans="1:11" ht="25.5">
      <c r="A20" s="70"/>
      <c r="B20" s="42" t="s">
        <v>91</v>
      </c>
      <c r="C20" s="70"/>
      <c r="D20" s="43" t="str">
        <f>VLOOKUP(B20,'Working time'!B:D,3,0)</f>
        <v>Dương Văn Thành</v>
      </c>
      <c r="E20" s="43" t="str">
        <f>VLOOKUP(B20,'Working time'!B:F,4,0)</f>
        <v>Finance</v>
      </c>
      <c r="F20" s="43" t="str">
        <f>VLOOKUP(B20,'Working time'!B:F,5,0)</f>
        <v>Branch IT Administrator</v>
      </c>
      <c r="G20" s="44" t="str">
        <f>VLOOKUP(B20,'Working time'!B:G,6,0)</f>
        <v>15/09/2025</v>
      </c>
      <c r="H20" s="93" t="s">
        <v>477</v>
      </c>
      <c r="I20" s="70" t="s">
        <v>376</v>
      </c>
      <c r="J20" s="70">
        <v>1</v>
      </c>
      <c r="K20" s="70"/>
    </row>
    <row r="21" spans="1:11" ht="25.5">
      <c r="A21" s="70"/>
      <c r="B21" s="42" t="s">
        <v>108</v>
      </c>
      <c r="C21" s="43"/>
      <c r="D21" s="43" t="str">
        <f>VLOOKUP(B21,'Working time'!B:D,3,0)</f>
        <v>Huỳnh Hoài Thương</v>
      </c>
      <c r="E21" s="43" t="str">
        <f>VLOOKUP(B21,'Working time'!B:F,4,0)</f>
        <v>Production</v>
      </c>
      <c r="F21" s="43" t="str">
        <f>VLOOKUP(B21,'Working time'!B:F,5,0)</f>
        <v>Riveting Line Operator</v>
      </c>
      <c r="G21" s="44" t="str">
        <f>VLOOKUP(B21,'Working time'!B:G,6,0)</f>
        <v>17/09/2025</v>
      </c>
      <c r="H21" s="93">
        <v>46150</v>
      </c>
      <c r="I21" s="70" t="s">
        <v>376</v>
      </c>
      <c r="J21" s="70">
        <v>1</v>
      </c>
      <c r="K21" s="70"/>
    </row>
    <row r="22" spans="1:11" ht="25.5">
      <c r="A22" s="70"/>
      <c r="B22" s="42" t="s">
        <v>108</v>
      </c>
      <c r="C22" s="70"/>
      <c r="D22" s="43" t="str">
        <f>VLOOKUP(B22,'Working time'!B:D,3,0)</f>
        <v>Huỳnh Hoài Thương</v>
      </c>
      <c r="E22" s="43" t="str">
        <f>VLOOKUP(B22,'Working time'!B:F,4,0)</f>
        <v>Production</v>
      </c>
      <c r="F22" s="43" t="str">
        <f>VLOOKUP(B22,'Working time'!B:F,5,0)</f>
        <v>Riveting Line Operator</v>
      </c>
      <c r="G22" s="44" t="str">
        <f>VLOOKUP(B22,'Working time'!B:G,6,0)</f>
        <v>17/09/2025</v>
      </c>
      <c r="H22" s="93" t="s">
        <v>465</v>
      </c>
      <c r="I22" s="70" t="s">
        <v>459</v>
      </c>
      <c r="J22" s="70">
        <v>1</v>
      </c>
      <c r="K22" s="70"/>
    </row>
    <row r="23" spans="1:11" ht="38.25">
      <c r="A23" s="70"/>
      <c r="B23" s="42" t="s">
        <v>147</v>
      </c>
      <c r="C23" s="70"/>
      <c r="D23" s="43" t="str">
        <f>VLOOKUP(B23,'Working time'!B:D,3,0)</f>
        <v>Phan Phước Tài</v>
      </c>
      <c r="E23" s="43" t="str">
        <f>VLOOKUP(B23,'Working time'!B:F,4,0)</f>
        <v>Maintenance (PRO)</v>
      </c>
      <c r="F23" s="43" t="str">
        <f>VLOOKUP(B23,'Working time'!B:F,5,0)</f>
        <v>Mechanical Maintenance Specialist</v>
      </c>
      <c r="G23" s="44" t="str">
        <f>VLOOKUP(B23,'Working time'!B:G,6,0)</f>
        <v>25/09/2025</v>
      </c>
      <c r="H23" s="93" t="s">
        <v>446</v>
      </c>
      <c r="I23" s="70" t="s">
        <v>376</v>
      </c>
      <c r="J23" s="70">
        <v>0.5</v>
      </c>
      <c r="K23" s="70"/>
    </row>
    <row r="24" spans="1:11" ht="38.25">
      <c r="A24" s="70"/>
      <c r="B24" s="42" t="s">
        <v>147</v>
      </c>
      <c r="C24" s="70"/>
      <c r="D24" s="43" t="str">
        <f>VLOOKUP(B24,'Working time'!B:D,3,0)</f>
        <v>Phan Phước Tài</v>
      </c>
      <c r="E24" s="43" t="str">
        <f>VLOOKUP(B24,'Working time'!B:F,4,0)</f>
        <v>Maintenance (PRO)</v>
      </c>
      <c r="F24" s="43" t="str">
        <f>VLOOKUP(B24,'Working time'!B:F,5,0)</f>
        <v>Mechanical Maintenance Specialist</v>
      </c>
      <c r="G24" s="44" t="str">
        <f>VLOOKUP(B24,'Working time'!B:G,6,0)</f>
        <v>25/09/2025</v>
      </c>
      <c r="H24" s="93" t="s">
        <v>447</v>
      </c>
      <c r="I24" s="70" t="s">
        <v>376</v>
      </c>
      <c r="J24" s="70">
        <v>0.5</v>
      </c>
      <c r="K24" s="70"/>
    </row>
    <row r="25" spans="1:11" ht="38.25">
      <c r="A25" s="70"/>
      <c r="B25" s="42" t="s">
        <v>151</v>
      </c>
      <c r="C25" s="70"/>
      <c r="D25" s="43" t="str">
        <f>VLOOKUP(B25,'Working time'!B:D,3,0)</f>
        <v>Cao Ngọc Linh</v>
      </c>
      <c r="E25" s="43" t="str">
        <f>VLOOKUP(B25,'Working time'!B:F,4,0)</f>
        <v>Maintenance (PRO)</v>
      </c>
      <c r="F25" s="43" t="str">
        <f>VLOOKUP(B25,'Working time'!B:F,5,0)</f>
        <v>Environmental Protection Equipment</v>
      </c>
      <c r="G25" s="44" t="str">
        <f>VLOOKUP(B25,'Working time'!B:G,6,0)</f>
        <v>01/10/2025</v>
      </c>
      <c r="H25" s="93">
        <v>46334</v>
      </c>
      <c r="I25" s="70" t="s">
        <v>376</v>
      </c>
      <c r="J25" s="70">
        <v>1</v>
      </c>
      <c r="K25" s="70"/>
    </row>
    <row r="26" spans="1:11" ht="25.5">
      <c r="A26" s="70"/>
      <c r="B26" s="42" t="s">
        <v>153</v>
      </c>
      <c r="C26" s="70"/>
      <c r="D26" s="43" t="str">
        <f>VLOOKUP(B26,'Working time'!B:D,3,0)</f>
        <v>Lâm Thanh Hiếu</v>
      </c>
      <c r="E26" s="43" t="str">
        <f>VLOOKUP(B26,'Working time'!B:F,4,0)</f>
        <v>Production</v>
      </c>
      <c r="F26" s="43" t="str">
        <f>VLOOKUP(B26,'Working time'!B:F,5,0)</f>
        <v>Painting Line Operator</v>
      </c>
      <c r="G26" s="44" t="str">
        <f>VLOOKUP(B26,'Working time'!B:G,6,0)</f>
        <v>02/10/2025</v>
      </c>
      <c r="H26" s="93" t="s">
        <v>467</v>
      </c>
      <c r="I26" s="70" t="s">
        <v>376</v>
      </c>
      <c r="J26" s="70">
        <v>1</v>
      </c>
      <c r="K26" s="70"/>
    </row>
    <row r="27" spans="1:11" ht="25.5">
      <c r="A27" s="70"/>
      <c r="B27" s="42" t="s">
        <v>153</v>
      </c>
      <c r="C27" s="70"/>
      <c r="D27" s="43" t="str">
        <f>VLOOKUP(B27,'Working time'!B:D,3,0)</f>
        <v>Lâm Thanh Hiếu</v>
      </c>
      <c r="E27" s="43" t="str">
        <f>VLOOKUP(B27,'Working time'!B:F,4,0)</f>
        <v>Production</v>
      </c>
      <c r="F27" s="43" t="str">
        <f>VLOOKUP(B27,'Working time'!B:F,5,0)</f>
        <v>Painting Line Operator</v>
      </c>
      <c r="G27" s="44" t="str">
        <f>VLOOKUP(B27,'Working time'!B:G,6,0)</f>
        <v>02/10/2025</v>
      </c>
      <c r="H27" s="93" t="s">
        <v>468</v>
      </c>
      <c r="I27" s="70" t="s">
        <v>376</v>
      </c>
      <c r="J27" s="70">
        <v>1</v>
      </c>
      <c r="K27" s="70"/>
    </row>
    <row r="28" spans="1:11" ht="25.5">
      <c r="A28" s="70"/>
      <c r="B28" s="42" t="s">
        <v>153</v>
      </c>
      <c r="C28" s="70"/>
      <c r="D28" s="43" t="str">
        <f>VLOOKUP(B28,'Working time'!B:D,3,0)</f>
        <v>Lâm Thanh Hiếu</v>
      </c>
      <c r="E28" s="43" t="str">
        <f>VLOOKUP(B28,'Working time'!B:F,4,0)</f>
        <v>Production</v>
      </c>
      <c r="F28" s="43" t="str">
        <f>VLOOKUP(B28,'Working time'!B:F,5,0)</f>
        <v>Painting Line Operator</v>
      </c>
      <c r="G28" s="44" t="str">
        <f>VLOOKUP(B28,'Working time'!B:G,6,0)</f>
        <v>02/10/2025</v>
      </c>
      <c r="H28" s="93" t="s">
        <v>464</v>
      </c>
      <c r="I28" s="70" t="s">
        <v>376</v>
      </c>
      <c r="J28" s="70">
        <v>1</v>
      </c>
      <c r="K28" s="70"/>
    </row>
    <row r="29" spans="1:11" ht="25.5">
      <c r="A29" s="70"/>
      <c r="B29" s="42" t="s">
        <v>153</v>
      </c>
      <c r="C29" s="70"/>
      <c r="D29" s="43" t="str">
        <f>VLOOKUP(B29,'Working time'!B:D,3,0)</f>
        <v>Lâm Thanh Hiếu</v>
      </c>
      <c r="E29" s="43" t="str">
        <f>VLOOKUP(B29,'Working time'!B:F,4,0)</f>
        <v>Production</v>
      </c>
      <c r="F29" s="43" t="str">
        <f>VLOOKUP(B29,'Working time'!B:F,5,0)</f>
        <v>Painting Line Operator</v>
      </c>
      <c r="G29" s="44" t="str">
        <f>VLOOKUP(B29,'Working time'!B:G,6,0)</f>
        <v>02/10/2025</v>
      </c>
      <c r="H29" s="93">
        <v>46334</v>
      </c>
      <c r="I29" s="70" t="s">
        <v>459</v>
      </c>
      <c r="J29" s="70">
        <v>1</v>
      </c>
      <c r="K29" s="70"/>
    </row>
    <row r="30" spans="1:11" ht="25.5">
      <c r="A30" s="70"/>
      <c r="B30" s="42" t="s">
        <v>153</v>
      </c>
      <c r="C30" s="70"/>
      <c r="D30" s="43" t="str">
        <f>VLOOKUP(B30,'Working time'!B:D,3,0)</f>
        <v>Lâm Thanh Hiếu</v>
      </c>
      <c r="E30" s="43" t="str">
        <f>VLOOKUP(B30,'Working time'!B:F,4,0)</f>
        <v>Production</v>
      </c>
      <c r="F30" s="43" t="str">
        <f>VLOOKUP(B30,'Working time'!B:F,5,0)</f>
        <v>Painting Line Operator</v>
      </c>
      <c r="G30" s="44" t="str">
        <f>VLOOKUP(B30,'Working time'!B:G,6,0)</f>
        <v>02/10/2025</v>
      </c>
      <c r="H30" s="93">
        <v>46334</v>
      </c>
      <c r="I30" s="70" t="s">
        <v>459</v>
      </c>
      <c r="J30" s="70">
        <v>1</v>
      </c>
      <c r="K30" s="70"/>
    </row>
    <row r="31" spans="1:11" ht="25.5">
      <c r="A31" s="70"/>
      <c r="B31" s="42" t="s">
        <v>155</v>
      </c>
      <c r="C31" s="70"/>
      <c r="D31" s="43" t="str">
        <f>VLOOKUP(B31,'Working time'!B:D,3,0)</f>
        <v>Dương Trung Toàn</v>
      </c>
      <c r="E31" s="43" t="str">
        <f>VLOOKUP(B31,'Working time'!B:F,4,0)</f>
        <v>Production</v>
      </c>
      <c r="F31" s="43" t="str">
        <f>VLOOKUP(B31,'Working time'!B:F,5,0)</f>
        <v>Riveting Line Operator</v>
      </c>
      <c r="G31" s="44" t="str">
        <f>VLOOKUP(B31,'Working time'!B:G,6,0)</f>
        <v>04/10/2025</v>
      </c>
      <c r="H31" s="93" t="s">
        <v>472</v>
      </c>
      <c r="I31" s="70" t="s">
        <v>459</v>
      </c>
      <c r="J31" s="70">
        <v>1</v>
      </c>
      <c r="K31" s="70"/>
    </row>
    <row r="32" spans="1:11" ht="25.5">
      <c r="A32" s="70"/>
      <c r="B32" s="42" t="s">
        <v>155</v>
      </c>
      <c r="C32" s="70"/>
      <c r="D32" s="43" t="str">
        <f>VLOOKUP(B32,'Working time'!B:D,3,0)</f>
        <v>Dương Trung Toàn</v>
      </c>
      <c r="E32" s="43" t="str">
        <f>VLOOKUP(B32,'Working time'!B:F,4,0)</f>
        <v>Production</v>
      </c>
      <c r="F32" s="43" t="str">
        <f>VLOOKUP(B32,'Working time'!B:F,5,0)</f>
        <v>Riveting Line Operator</v>
      </c>
      <c r="G32" s="44" t="str">
        <f>VLOOKUP(B32,'Working time'!B:G,6,0)</f>
        <v>04/10/2025</v>
      </c>
      <c r="H32" s="93" t="s">
        <v>473</v>
      </c>
      <c r="I32" s="70" t="s">
        <v>459</v>
      </c>
      <c r="J32" s="70">
        <v>1</v>
      </c>
      <c r="K32" s="70"/>
    </row>
    <row r="33" spans="1:11" ht="25.5">
      <c r="A33" s="70"/>
      <c r="B33" s="42" t="s">
        <v>450</v>
      </c>
      <c r="C33" s="70"/>
      <c r="D33" s="43" t="str">
        <f>VLOOKUP(B33,'Working time'!B:D,3,0)</f>
        <v>Quách Tam Xuân</v>
      </c>
      <c r="E33" s="43" t="str">
        <f>VLOOKUP(B33,'Working time'!B:F,4,0)</f>
        <v>Production</v>
      </c>
      <c r="F33" s="43" t="str">
        <f>VLOOKUP(B33,'Working time'!B:F,5,0)</f>
        <v>Riveting Line Operator</v>
      </c>
      <c r="G33" s="44" t="str">
        <f>VLOOKUP(B33,'Working time'!B:G,6,0)</f>
        <v>21/07/2026</v>
      </c>
      <c r="H33" s="93">
        <v>46334</v>
      </c>
      <c r="I33" s="70" t="s">
        <v>459</v>
      </c>
      <c r="J33" s="70">
        <v>1</v>
      </c>
      <c r="K33" s="70"/>
    </row>
    <row r="34" spans="1:11" ht="25.5">
      <c r="A34" s="70"/>
      <c r="B34" s="42" t="s">
        <v>158</v>
      </c>
      <c r="C34" s="70"/>
      <c r="D34" s="43" t="str">
        <f>VLOOKUP(B34,'Working time'!B:D,3,0)</f>
        <v>Siu Nhoát</v>
      </c>
      <c r="E34" s="43" t="str">
        <f>VLOOKUP(B34,'Working time'!B:F,4,0)</f>
        <v>Production</v>
      </c>
      <c r="F34" s="43" t="str">
        <f>VLOOKUP(B34,'Working time'!B:F,5,0)</f>
        <v>Riveting Line Operator</v>
      </c>
      <c r="G34" s="44" t="str">
        <f>VLOOKUP(B34,'Working time'!B:G,6,0)</f>
        <v>07/10/2025</v>
      </c>
      <c r="H34" s="93" t="s">
        <v>467</v>
      </c>
      <c r="I34" s="70" t="s">
        <v>507</v>
      </c>
      <c r="J34" s="70">
        <v>1</v>
      </c>
      <c r="K34" s="70" t="s">
        <v>474</v>
      </c>
    </row>
    <row r="35" spans="1:11" ht="25.5">
      <c r="A35" s="70"/>
      <c r="B35" s="42" t="s">
        <v>158</v>
      </c>
      <c r="C35" s="70"/>
      <c r="D35" s="43" t="str">
        <f>VLOOKUP(B35,'Working time'!B:D,3,0)</f>
        <v>Siu Nhoát</v>
      </c>
      <c r="E35" s="43" t="str">
        <f>VLOOKUP(B36,'Working time'!B:F,4,0)</f>
        <v>Production</v>
      </c>
      <c r="F35" s="43" t="str">
        <f>VLOOKUP(B36,'Working time'!B:F,5,0)</f>
        <v>Riveting Line Operator</v>
      </c>
      <c r="G35" s="44" t="str">
        <f>VLOOKUP(B36,'Working time'!B:G,6,0)</f>
        <v>15/10/2025</v>
      </c>
      <c r="H35" s="93" t="s">
        <v>468</v>
      </c>
      <c r="I35" s="70" t="s">
        <v>507</v>
      </c>
      <c r="J35" s="70">
        <v>1</v>
      </c>
      <c r="K35" s="70" t="s">
        <v>460</v>
      </c>
    </row>
    <row r="36" spans="1:11" ht="25.5">
      <c r="A36" s="70"/>
      <c r="B36" s="42" t="s">
        <v>176</v>
      </c>
      <c r="C36" s="43"/>
      <c r="D36" s="43" t="str">
        <f>VLOOKUP(B36,'Working time'!B:D,3,0)</f>
        <v>Trần Văn Trọn</v>
      </c>
      <c r="E36" s="43" t="str">
        <f>VLOOKUP(B36,'Working time'!B:F,4,0)</f>
        <v>Production</v>
      </c>
      <c r="F36" s="43" t="str">
        <f>VLOOKUP(B36,'Working time'!B:F,5,0)</f>
        <v>Riveting Line Operator</v>
      </c>
      <c r="G36" s="44" t="str">
        <f>VLOOKUP(B36,'Working time'!B:G,6,0)</f>
        <v>15/10/2025</v>
      </c>
      <c r="H36" s="93">
        <v>46211</v>
      </c>
      <c r="I36" s="70" t="s">
        <v>376</v>
      </c>
      <c r="J36" s="70">
        <v>1</v>
      </c>
      <c r="K36" s="70"/>
    </row>
    <row r="37" spans="1:11" ht="25.5">
      <c r="A37" s="70"/>
      <c r="B37" s="42" t="s">
        <v>178</v>
      </c>
      <c r="C37" s="43"/>
      <c r="D37" s="43" t="str">
        <f>VLOOKUP(B37,'Working time'!B:D,3,0)</f>
        <v>Phạm Hùng Cường</v>
      </c>
      <c r="E37" s="43" t="str">
        <f>VLOOKUP(B37,'Working time'!B:F,4,0)</f>
        <v>Production</v>
      </c>
      <c r="F37" s="43" t="str">
        <f>VLOOKUP(B37,'Working time'!B:F,5,0)</f>
        <v>Riveting Line Operator</v>
      </c>
      <c r="G37" s="44" t="str">
        <f>VLOOKUP(B37,'Working time'!B:G,6,0)</f>
        <v>17/10/2025</v>
      </c>
      <c r="H37" s="93">
        <v>46181</v>
      </c>
      <c r="I37" s="70" t="s">
        <v>459</v>
      </c>
      <c r="J37" s="70">
        <v>1</v>
      </c>
      <c r="K37" s="70"/>
    </row>
    <row r="38" spans="1:11" ht="25.5">
      <c r="A38" s="70"/>
      <c r="B38" s="42" t="s">
        <v>178</v>
      </c>
      <c r="C38" s="70"/>
      <c r="D38" s="43" t="str">
        <f>VLOOKUP(B38,'Working time'!B:D,3,0)</f>
        <v>Phạm Hùng Cường</v>
      </c>
      <c r="E38" s="43" t="str">
        <f>VLOOKUP(B38,'Working time'!B:F,4,0)</f>
        <v>Production</v>
      </c>
      <c r="F38" s="43" t="str">
        <f>VLOOKUP(B38,'Working time'!B:F,5,0)</f>
        <v>Riveting Line Operator</v>
      </c>
      <c r="G38" s="44" t="str">
        <f>VLOOKUP(B38,'Working time'!B:G,6,0)</f>
        <v>17/10/2025</v>
      </c>
      <c r="H38" s="93" t="s">
        <v>467</v>
      </c>
      <c r="I38" s="70" t="s">
        <v>376</v>
      </c>
      <c r="J38" s="70">
        <v>1</v>
      </c>
      <c r="K38" s="70"/>
    </row>
    <row r="39" spans="1:11">
      <c r="A39" s="70"/>
      <c r="B39" s="42" t="s">
        <v>432</v>
      </c>
      <c r="C39" s="43"/>
      <c r="D39" s="43" t="str">
        <f>VLOOKUP(B39,'Working time'!B:D,3,0)</f>
        <v>Trần Nhơn Ái</v>
      </c>
      <c r="E39" s="43" t="str">
        <f>VLOOKUP(B39,'Working time'!B:F,4,0)</f>
        <v>Production</v>
      </c>
      <c r="F39" s="43" t="str">
        <f>VLOOKUP(B39,'Working time'!B:F,5,0)</f>
        <v>Production Operator</v>
      </c>
      <c r="G39" s="44" t="str">
        <f>VLOOKUP(B39,'Working time'!B:G,6,0)</f>
        <v>09/07/2026</v>
      </c>
      <c r="H39" s="93">
        <v>46150</v>
      </c>
      <c r="I39" s="70" t="s">
        <v>459</v>
      </c>
      <c r="J39" s="70">
        <v>1</v>
      </c>
      <c r="K39" s="70"/>
    </row>
    <row r="40" spans="1:11">
      <c r="A40" s="70"/>
      <c r="B40" s="42" t="s">
        <v>432</v>
      </c>
      <c r="C40" s="43"/>
      <c r="D40" s="43" t="str">
        <f>VLOOKUP(B40,'Working time'!B:D,3,0)</f>
        <v>Trần Nhơn Ái</v>
      </c>
      <c r="E40" s="43" t="str">
        <f>VLOOKUP(B40,'Working time'!B:F,4,0)</f>
        <v>Production</v>
      </c>
      <c r="F40" s="43" t="str">
        <f>VLOOKUP(B40,'Working time'!B:F,5,0)</f>
        <v>Production Operator</v>
      </c>
      <c r="G40" s="44" t="str">
        <f>VLOOKUP(B40,'Working time'!B:G,6,0)</f>
        <v>09/07/2026</v>
      </c>
      <c r="H40" s="93">
        <v>46120</v>
      </c>
      <c r="I40" s="70" t="s">
        <v>376</v>
      </c>
      <c r="J40" s="70">
        <v>1</v>
      </c>
      <c r="K40" s="70"/>
    </row>
    <row r="41" spans="1:11">
      <c r="A41" s="70"/>
      <c r="B41" s="42" t="s">
        <v>432</v>
      </c>
      <c r="C41" s="70"/>
      <c r="D41" s="43" t="str">
        <f>VLOOKUP(B41,'Working time'!B:D,3,0)</f>
        <v>Trần Nhơn Ái</v>
      </c>
      <c r="E41" s="43" t="str">
        <f>VLOOKUP(B41,'Working time'!B:F,4,0)</f>
        <v>Production</v>
      </c>
      <c r="F41" s="43" t="str">
        <f>VLOOKUP(B41,'Working time'!B:F,5,0)</f>
        <v>Production Operator</v>
      </c>
      <c r="G41" s="44" t="str">
        <f>VLOOKUP(B41,'Working time'!B:G,6,0)</f>
        <v>09/07/2026</v>
      </c>
      <c r="H41" s="93">
        <v>46364</v>
      </c>
      <c r="I41" s="70" t="s">
        <v>376</v>
      </c>
      <c r="J41" s="70">
        <v>1</v>
      </c>
      <c r="K41" s="70"/>
    </row>
    <row r="42" spans="1:11" ht="25.5">
      <c r="A42" s="70"/>
      <c r="B42" s="42" t="s">
        <v>451</v>
      </c>
      <c r="C42" s="43"/>
      <c r="D42" s="43" t="str">
        <f>VLOOKUP(B42,'Working time'!B:D,3,0)</f>
        <v>Đặng Văn Trọng</v>
      </c>
      <c r="E42" s="43" t="str">
        <f>VLOOKUP(B42,'Working time'!B:F,4,0)</f>
        <v>Production</v>
      </c>
      <c r="F42" s="43" t="str">
        <f>VLOOKUP(B42,'Working time'!B:F,5,0)</f>
        <v>Riveting Line Operator</v>
      </c>
      <c r="G42" s="44" t="str">
        <f>VLOOKUP(B42,'Working time'!B:G,6,0)</f>
        <v>23/07/2026</v>
      </c>
      <c r="H42" s="93">
        <v>46120</v>
      </c>
      <c r="I42" s="70" t="s">
        <v>459</v>
      </c>
      <c r="J42" s="70">
        <v>1</v>
      </c>
      <c r="K42" s="70"/>
    </row>
    <row r="43" spans="1:11" ht="25.5">
      <c r="A43" s="70"/>
      <c r="B43" s="42" t="s">
        <v>451</v>
      </c>
      <c r="C43" s="43"/>
      <c r="D43" s="43" t="str">
        <f>VLOOKUP(B43,'Working time'!B:D,3,0)</f>
        <v>Đặng Văn Trọng</v>
      </c>
      <c r="E43" s="43" t="str">
        <f>VLOOKUP(B43,'Working time'!B:F,4,0)</f>
        <v>Production</v>
      </c>
      <c r="F43" s="43" t="str">
        <f>VLOOKUP(B43,'Working time'!B:F,5,0)</f>
        <v>Riveting Line Operator</v>
      </c>
      <c r="G43" s="44" t="str">
        <f>VLOOKUP(B43,'Working time'!B:G,6,0)</f>
        <v>23/07/2026</v>
      </c>
      <c r="H43" s="93">
        <v>46150</v>
      </c>
      <c r="I43" s="70" t="s">
        <v>459</v>
      </c>
      <c r="J43" s="70">
        <v>1</v>
      </c>
      <c r="K43" s="70"/>
    </row>
    <row r="44" spans="1:11" ht="25.5">
      <c r="A44" s="70"/>
      <c r="B44" s="42" t="s">
        <v>185</v>
      </c>
      <c r="C44" s="70"/>
      <c r="D44" s="43" t="str">
        <f>VLOOKUP(B44,'Working time'!B:D,3,0)</f>
        <v>Nguyễn Quang Linh</v>
      </c>
      <c r="E44" s="43" t="str">
        <f>VLOOKUP(B44,'Working time'!B:F,4,0)</f>
        <v>Production</v>
      </c>
      <c r="F44" s="43" t="str">
        <f>VLOOKUP(B44,'Working time'!B:F,5,0)</f>
        <v>Riveting Line Operator</v>
      </c>
      <c r="G44" s="44" t="str">
        <f>VLOOKUP(B44,'Working time'!B:G,6,0)</f>
        <v>29/10/2025</v>
      </c>
      <c r="H44" s="93" t="s">
        <v>473</v>
      </c>
      <c r="I44" s="70" t="s">
        <v>459</v>
      </c>
      <c r="J44" s="70">
        <v>1</v>
      </c>
      <c r="K44" s="70"/>
    </row>
    <row r="45" spans="1:11" ht="25.5">
      <c r="A45" s="70"/>
      <c r="B45" s="42" t="s">
        <v>185</v>
      </c>
      <c r="C45" s="70"/>
      <c r="D45" s="43" t="str">
        <f>VLOOKUP(B45,'Working time'!B:D,3,0)</f>
        <v>Nguyễn Quang Linh</v>
      </c>
      <c r="E45" s="43" t="str">
        <f>VLOOKUP(B45,'Working time'!B:F,4,0)</f>
        <v>Production</v>
      </c>
      <c r="F45" s="43" t="str">
        <f>VLOOKUP(B45,'Working time'!B:F,5,0)</f>
        <v>Riveting Line Operator</v>
      </c>
      <c r="G45" s="44" t="str">
        <f>VLOOKUP(B45,'Working time'!B:G,6,0)</f>
        <v>29/10/2025</v>
      </c>
      <c r="H45" s="93" t="s">
        <v>466</v>
      </c>
      <c r="I45" s="70" t="s">
        <v>376</v>
      </c>
      <c r="J45" s="70">
        <v>1</v>
      </c>
      <c r="K45" s="70"/>
    </row>
    <row r="46" spans="1:11" ht="25.5">
      <c r="A46" s="70"/>
      <c r="B46" s="42" t="s">
        <v>185</v>
      </c>
      <c r="C46" s="70"/>
      <c r="D46" s="43" t="str">
        <f>VLOOKUP(B46,'Working time'!B:D,3,0)</f>
        <v>Nguyễn Quang Linh</v>
      </c>
      <c r="E46" s="43" t="str">
        <f>VLOOKUP(B46,'Working time'!B:F,4,0)</f>
        <v>Production</v>
      </c>
      <c r="F46" s="43" t="str">
        <f>VLOOKUP(B46,'Working time'!B:F,5,0)</f>
        <v>Riveting Line Operator</v>
      </c>
      <c r="G46" s="44" t="str">
        <f>VLOOKUP(B46,'Working time'!B:G,6,0)</f>
        <v>29/10/2025</v>
      </c>
      <c r="H46" s="93">
        <v>46120</v>
      </c>
      <c r="I46" s="70" t="s">
        <v>459</v>
      </c>
      <c r="J46" s="70">
        <v>1</v>
      </c>
      <c r="K46" s="70"/>
    </row>
    <row r="47" spans="1:11" ht="25.5">
      <c r="A47" s="70"/>
      <c r="B47" s="42" t="s">
        <v>192</v>
      </c>
      <c r="C47" s="43"/>
      <c r="D47" s="43" t="str">
        <f>VLOOKUP(B47,'Working time'!B:D,3,0)</f>
        <v>Nguyễn Hữu Đức</v>
      </c>
      <c r="E47" s="43" t="str">
        <f>VLOOKUP(B47,'Working time'!B:F,4,0)</f>
        <v>Production</v>
      </c>
      <c r="F47" s="43" t="str">
        <f>VLOOKUP(B47,'Working time'!B:F,5,0)</f>
        <v>Riveting Line Operator</v>
      </c>
      <c r="G47" s="44" t="str">
        <f>VLOOKUP(B47,'Working time'!B:G,6,0)</f>
        <v>07/11/2025</v>
      </c>
      <c r="H47" s="93">
        <v>46181</v>
      </c>
      <c r="I47" s="70" t="s">
        <v>459</v>
      </c>
      <c r="J47" s="70">
        <v>1</v>
      </c>
      <c r="K47" s="70"/>
    </row>
    <row r="48" spans="1:11" ht="25.5">
      <c r="A48" s="70"/>
      <c r="B48" s="42" t="s">
        <v>192</v>
      </c>
      <c r="C48" s="43"/>
      <c r="D48" s="43" t="str">
        <f>VLOOKUP(B48,'Working time'!B:D,3,0)</f>
        <v>Nguyễn Hữu Đức</v>
      </c>
      <c r="E48" s="43" t="str">
        <f>VLOOKUP(B48,'Working time'!B:F,4,0)</f>
        <v>Production</v>
      </c>
      <c r="F48" s="43" t="str">
        <f>VLOOKUP(B48,'Working time'!B:F,5,0)</f>
        <v>Riveting Line Operator</v>
      </c>
      <c r="G48" s="44" t="str">
        <f>VLOOKUP(B48,'Working time'!B:G,6,0)</f>
        <v>07/11/2025</v>
      </c>
      <c r="H48" s="93">
        <v>46211</v>
      </c>
      <c r="I48" s="70" t="s">
        <v>459</v>
      </c>
      <c r="J48" s="70">
        <v>1</v>
      </c>
      <c r="K48" s="70"/>
    </row>
    <row r="49" spans="1:11" ht="25.5">
      <c r="A49" s="70"/>
      <c r="B49" s="42" t="s">
        <v>192</v>
      </c>
      <c r="C49" s="70"/>
      <c r="D49" s="43" t="str">
        <f>VLOOKUP(B49,'Working time'!B:D,3,0)</f>
        <v>Nguyễn Hữu Đức</v>
      </c>
      <c r="E49" s="43" t="str">
        <f>VLOOKUP(B49,'Working time'!B:F,4,0)</f>
        <v>Production</v>
      </c>
      <c r="F49" s="43" t="str">
        <f>VLOOKUP(B49,'Working time'!B:F,5,0)</f>
        <v>Riveting Line Operator</v>
      </c>
      <c r="G49" s="44" t="str">
        <f>VLOOKUP(B49,'Working time'!B:G,6,0)</f>
        <v>07/11/2025</v>
      </c>
      <c r="H49" s="93" t="s">
        <v>465</v>
      </c>
      <c r="I49" s="70" t="s">
        <v>376</v>
      </c>
      <c r="J49" s="70">
        <v>1</v>
      </c>
      <c r="K49" s="70"/>
    </row>
    <row r="50" spans="1:11" ht="25.5">
      <c r="A50" s="70"/>
      <c r="B50" s="42" t="s">
        <v>192</v>
      </c>
      <c r="C50" s="70"/>
      <c r="D50" s="43" t="str">
        <f>VLOOKUP(B50,'Working time'!B:D,3,0)</f>
        <v>Nguyễn Hữu Đức</v>
      </c>
      <c r="E50" s="43" t="str">
        <f>VLOOKUP(B50,'Working time'!B:F,4,0)</f>
        <v>Production</v>
      </c>
      <c r="F50" s="43" t="str">
        <f>VLOOKUP(B50,'Working time'!B:F,5,0)</f>
        <v>Riveting Line Operator</v>
      </c>
      <c r="G50" s="44" t="str">
        <f>VLOOKUP(B50,'Working time'!B:G,6,0)</f>
        <v>07/11/2025</v>
      </c>
      <c r="H50" s="93" t="s">
        <v>464</v>
      </c>
      <c r="I50" s="70" t="s">
        <v>459</v>
      </c>
      <c r="J50" s="70">
        <v>1</v>
      </c>
      <c r="K50" s="70"/>
    </row>
    <row r="51" spans="1:11" ht="25.5">
      <c r="A51" s="70"/>
      <c r="B51" s="42" t="s">
        <v>192</v>
      </c>
      <c r="C51" s="70"/>
      <c r="D51" s="43" t="str">
        <f>VLOOKUP(B51,'Working time'!B:D,3,0)</f>
        <v>Nguyễn Hữu Đức</v>
      </c>
      <c r="E51" s="43" t="str">
        <f>VLOOKUP(B51,'Working time'!B:F,4,0)</f>
        <v>Production</v>
      </c>
      <c r="F51" s="43" t="str">
        <f>VLOOKUP(B51,'Working time'!B:F,5,0)</f>
        <v>Riveting Line Operator</v>
      </c>
      <c r="G51" s="44" t="str">
        <f>VLOOKUP(B51,'Working time'!B:G,6,0)</f>
        <v>07/11/2025</v>
      </c>
      <c r="H51" s="93" t="s">
        <v>466</v>
      </c>
      <c r="I51" s="70" t="s">
        <v>459</v>
      </c>
      <c r="J51" s="70">
        <v>1</v>
      </c>
      <c r="K51" s="70"/>
    </row>
    <row r="52" spans="1:11" ht="25.5">
      <c r="A52" s="70"/>
      <c r="B52" s="42" t="s">
        <v>192</v>
      </c>
      <c r="C52" s="70"/>
      <c r="D52" s="43" t="str">
        <f>VLOOKUP(B52,'Working time'!B:D,3,0)</f>
        <v>Nguyễn Hữu Đức</v>
      </c>
      <c r="E52" s="43" t="str">
        <f>VLOOKUP(B52,'Working time'!B:F,4,0)</f>
        <v>Production</v>
      </c>
      <c r="F52" s="43" t="str">
        <f>VLOOKUP(B52,'Working time'!B:F,5,0)</f>
        <v>Riveting Line Operator</v>
      </c>
      <c r="G52" s="44" t="str">
        <f>VLOOKUP(B52,'Working time'!B:G,6,0)</f>
        <v>07/11/2025</v>
      </c>
      <c r="H52" s="93" t="s">
        <v>510</v>
      </c>
      <c r="I52" s="70" t="s">
        <v>459</v>
      </c>
      <c r="J52" s="70">
        <v>1</v>
      </c>
      <c r="K52" s="70"/>
    </row>
    <row r="53" spans="1:11">
      <c r="A53" s="42">
        <v>1</v>
      </c>
      <c r="B53" s="42" t="s">
        <v>433</v>
      </c>
      <c r="C53" s="43" t="s">
        <v>16</v>
      </c>
      <c r="D53" s="43" t="str">
        <f>VLOOKUP(B53,'Working time'!B:D,3,0)</f>
        <v>Hồ Thị Lan</v>
      </c>
      <c r="E53" s="43" t="str">
        <f>VLOOKUP(B53,'Working time'!B:F,4,0)</f>
        <v>Production</v>
      </c>
      <c r="F53" s="43" t="str">
        <f>VLOOKUP(B53,'Working time'!B:F,5,0)</f>
        <v>Production Operator</v>
      </c>
      <c r="G53" s="44" t="str">
        <f>VLOOKUP(B53,'Working time'!B:G,6,0)</f>
        <v>14/07/2026</v>
      </c>
      <c r="H53" s="93">
        <v>46303</v>
      </c>
      <c r="I53" s="70" t="s">
        <v>459</v>
      </c>
      <c r="J53" s="70">
        <v>1</v>
      </c>
      <c r="K53" s="70"/>
    </row>
    <row r="54" spans="1:11">
      <c r="A54" s="70"/>
      <c r="B54" s="42" t="s">
        <v>433</v>
      </c>
      <c r="C54" s="70"/>
      <c r="D54" s="43" t="str">
        <f>VLOOKUP(B54,'Working time'!B:D,3,0)</f>
        <v>Hồ Thị Lan</v>
      </c>
      <c r="E54" s="43" t="str">
        <f>VLOOKUP(B54,'Working time'!B:F,4,0)</f>
        <v>Production</v>
      </c>
      <c r="F54" s="43" t="str">
        <f>VLOOKUP(B54,'Working time'!B:F,5,0)</f>
        <v>Production Operator</v>
      </c>
      <c r="G54" s="44" t="str">
        <f>VLOOKUP(B54,'Working time'!B:G,6,0)</f>
        <v>14/07/2026</v>
      </c>
      <c r="H54" s="93" t="s">
        <v>467</v>
      </c>
      <c r="I54" s="70" t="s">
        <v>459</v>
      </c>
      <c r="J54" s="70">
        <v>1</v>
      </c>
      <c r="K54" s="70"/>
    </row>
    <row r="55" spans="1:11">
      <c r="A55" s="70"/>
      <c r="B55" s="42" t="s">
        <v>433</v>
      </c>
      <c r="C55" s="70"/>
      <c r="D55" s="43" t="str">
        <f>VLOOKUP(B55,'Working time'!B:D,3,0)</f>
        <v>Hồ Thị Lan</v>
      </c>
      <c r="E55" s="43" t="str">
        <f>VLOOKUP(B55,'Working time'!B:F,4,0)</f>
        <v>Production</v>
      </c>
      <c r="F55" s="43" t="str">
        <f>VLOOKUP(B55,'Working time'!B:F,5,0)</f>
        <v>Production Operator</v>
      </c>
      <c r="G55" s="44" t="str">
        <f>VLOOKUP(B55,'Working time'!B:G,6,0)</f>
        <v>14/07/2026</v>
      </c>
      <c r="H55" s="93">
        <v>46303</v>
      </c>
      <c r="I55" s="70" t="s">
        <v>459</v>
      </c>
      <c r="J55" s="70">
        <v>1</v>
      </c>
      <c r="K55" s="70"/>
    </row>
    <row r="56" spans="1:11">
      <c r="A56" s="70"/>
      <c r="B56" s="42" t="s">
        <v>201</v>
      </c>
      <c r="C56" s="43"/>
      <c r="D56" s="43" t="str">
        <f>VLOOKUP(B56,'Working time'!B:D,3,0)</f>
        <v>Phan Thị Kim Anh</v>
      </c>
      <c r="E56" s="43" t="str">
        <f>VLOOKUP(B56,'Working time'!B:F,4,0)</f>
        <v>Production</v>
      </c>
      <c r="F56" s="43" t="str">
        <f>VLOOKUP(B56,'Working time'!B:F,5,0)</f>
        <v>Production Operator</v>
      </c>
      <c r="G56" s="44" t="str">
        <f>VLOOKUP(B56,'Working time'!B:G,6,0)</f>
        <v>18/11/2025</v>
      </c>
      <c r="H56" s="93">
        <v>46242</v>
      </c>
      <c r="I56" s="70" t="s">
        <v>376</v>
      </c>
      <c r="J56" s="70">
        <v>1</v>
      </c>
      <c r="K56" s="70"/>
    </row>
    <row r="57" spans="1:11">
      <c r="A57" s="70"/>
      <c r="B57" s="42" t="s">
        <v>202</v>
      </c>
      <c r="C57" s="43"/>
      <c r="D57" s="43" t="str">
        <f>VLOOKUP(B57,'Working time'!B:D,3,0)</f>
        <v>Nguyễn Văn Út</v>
      </c>
      <c r="E57" s="43" t="str">
        <f>VLOOKUP(B57,'Working time'!B:F,4,0)</f>
        <v>Production</v>
      </c>
      <c r="F57" s="43" t="str">
        <f>VLOOKUP(B57,'Working time'!B:F,5,0)</f>
        <v>Production Operator</v>
      </c>
      <c r="G57" s="44" t="str">
        <f>VLOOKUP(B57,'Working time'!B:G,6,0)</f>
        <v>18/11/2025</v>
      </c>
      <c r="H57" s="93">
        <v>46181</v>
      </c>
      <c r="I57" s="70" t="s">
        <v>376</v>
      </c>
      <c r="J57" s="70">
        <v>1</v>
      </c>
      <c r="K57" s="70"/>
    </row>
    <row r="58" spans="1:11">
      <c r="A58" s="70"/>
      <c r="B58" s="42" t="s">
        <v>202</v>
      </c>
      <c r="C58" s="70"/>
      <c r="D58" s="43" t="str">
        <f>VLOOKUP(B58,'Working time'!B:D,3,0)</f>
        <v>Nguyễn Văn Út</v>
      </c>
      <c r="E58" s="43" t="str">
        <f>VLOOKUP(B58,'Working time'!B:F,4,0)</f>
        <v>Production</v>
      </c>
      <c r="F58" s="43" t="str">
        <f>VLOOKUP(B58,'Working time'!B:F,5,0)</f>
        <v>Production Operator</v>
      </c>
      <c r="G58" s="44" t="str">
        <f>VLOOKUP(B58,'Working time'!B:G,6,0)</f>
        <v>18/11/2025</v>
      </c>
      <c r="H58" s="93" t="s">
        <v>471</v>
      </c>
      <c r="I58" s="70" t="s">
        <v>459</v>
      </c>
      <c r="J58" s="70">
        <v>1</v>
      </c>
      <c r="K58" s="70"/>
    </row>
    <row r="59" spans="1:11">
      <c r="A59" s="70"/>
      <c r="B59" s="42" t="s">
        <v>434</v>
      </c>
      <c r="C59" s="43"/>
      <c r="D59" s="43" t="str">
        <f>VLOOKUP(B59,'Working time'!B:D,3,0)</f>
        <v>Ngô Văn Thảo</v>
      </c>
      <c r="E59" s="43" t="str">
        <f>VLOOKUP(B59,'Working time'!B:F,4,0)</f>
        <v>Production</v>
      </c>
      <c r="F59" s="43" t="str">
        <f>VLOOKUP(B59,'Working time'!B:F,5,0)</f>
        <v>Production Operator</v>
      </c>
      <c r="G59" s="44" t="str">
        <f>VLOOKUP(B59,'Working time'!B:G,6,0)</f>
        <v>14/07/2026</v>
      </c>
      <c r="H59" s="93">
        <v>46303</v>
      </c>
      <c r="I59" s="70" t="s">
        <v>459</v>
      </c>
      <c r="J59" s="70">
        <v>1</v>
      </c>
      <c r="K59" s="70"/>
    </row>
    <row r="60" spans="1:11">
      <c r="A60" s="70"/>
      <c r="B60" s="42" t="s">
        <v>434</v>
      </c>
      <c r="C60" s="43"/>
      <c r="D60" s="43" t="str">
        <f>VLOOKUP(B60,'Working time'!B:D,3,0)</f>
        <v>Ngô Văn Thảo</v>
      </c>
      <c r="E60" s="43" t="str">
        <f>VLOOKUP(B60,'Working time'!B:F,4,0)</f>
        <v>Production</v>
      </c>
      <c r="F60" s="43" t="str">
        <f>VLOOKUP(B60,'Working time'!B:F,5,0)</f>
        <v>Production Operator</v>
      </c>
      <c r="G60" s="44" t="str">
        <f>VLOOKUP(B60,'Working time'!B:G,6,0)</f>
        <v>14/07/2026</v>
      </c>
      <c r="H60" s="93">
        <v>46181</v>
      </c>
      <c r="I60" s="70" t="s">
        <v>459</v>
      </c>
      <c r="J60" s="70">
        <v>1</v>
      </c>
      <c r="K60" s="70"/>
    </row>
    <row r="61" spans="1:11">
      <c r="A61" s="70"/>
      <c r="B61" s="42" t="s">
        <v>434</v>
      </c>
      <c r="C61" s="43"/>
      <c r="D61" s="43" t="str">
        <f>VLOOKUP(B61,'Working time'!B:D,3,0)</f>
        <v>Ngô Văn Thảo</v>
      </c>
      <c r="E61" s="43" t="str">
        <f>VLOOKUP(B61,'Working time'!B:F,4,0)</f>
        <v>Production</v>
      </c>
      <c r="F61" s="43" t="str">
        <f>VLOOKUP(B61,'Working time'!B:F,5,0)</f>
        <v>Production Operator</v>
      </c>
      <c r="G61" s="44" t="str">
        <f>VLOOKUP(B61,'Working time'!B:G,6,0)</f>
        <v>14/07/2026</v>
      </c>
      <c r="H61" s="93">
        <v>46211</v>
      </c>
      <c r="I61" s="70" t="s">
        <v>459</v>
      </c>
      <c r="J61" s="70">
        <v>1</v>
      </c>
      <c r="K61" s="70"/>
    </row>
    <row r="62" spans="1:11">
      <c r="A62" s="70"/>
      <c r="B62" s="42" t="s">
        <v>434</v>
      </c>
      <c r="C62" s="70"/>
      <c r="D62" s="43" t="str">
        <f>VLOOKUP(B62,'Working time'!B:D,3,0)</f>
        <v>Ngô Văn Thảo</v>
      </c>
      <c r="E62" s="43" t="str">
        <f>VLOOKUP(B62,'Working time'!B:F,4,0)</f>
        <v>Production</v>
      </c>
      <c r="F62" s="43" t="str">
        <f>VLOOKUP(B62,'Working time'!B:F,5,0)</f>
        <v>Production Operator</v>
      </c>
      <c r="G62" s="44" t="str">
        <f>VLOOKUP(B62,'Working time'!B:G,6,0)</f>
        <v>14/07/2026</v>
      </c>
      <c r="H62" s="93" t="s">
        <v>467</v>
      </c>
      <c r="I62" s="70" t="s">
        <v>459</v>
      </c>
      <c r="J62" s="70">
        <v>1</v>
      </c>
      <c r="K62" s="70"/>
    </row>
    <row r="63" spans="1:11">
      <c r="A63" s="70"/>
      <c r="B63" s="42" t="s">
        <v>434</v>
      </c>
      <c r="C63" s="70"/>
      <c r="D63" s="43" t="str">
        <f>VLOOKUP(B63,'Working time'!B:D,3,0)</f>
        <v>Ngô Văn Thảo</v>
      </c>
      <c r="E63" s="43" t="str">
        <f>VLOOKUP(B63,'Working time'!B:F,4,0)</f>
        <v>Production</v>
      </c>
      <c r="F63" s="43" t="str">
        <f>VLOOKUP(B63,'Working time'!B:F,5,0)</f>
        <v>Production Operator</v>
      </c>
      <c r="G63" s="44" t="str">
        <f>VLOOKUP(B63,'Working time'!B:G,6,0)</f>
        <v>14/07/2026</v>
      </c>
      <c r="H63" s="93">
        <v>46303</v>
      </c>
      <c r="I63" s="70" t="s">
        <v>459</v>
      </c>
      <c r="J63" s="70">
        <v>1</v>
      </c>
      <c r="K63" s="70"/>
    </row>
    <row r="64" spans="1:11">
      <c r="A64" s="70"/>
      <c r="B64" s="42" t="s">
        <v>211</v>
      </c>
      <c r="C64" s="70"/>
      <c r="D64" s="43" t="str">
        <f>VLOOKUP(B64,'Working time'!B:D,3,0)</f>
        <v>Nguyễn Thị Hương</v>
      </c>
      <c r="E64" s="43" t="str">
        <f>VLOOKUP(B64,'Working time'!B:F,4,0)</f>
        <v>Production</v>
      </c>
      <c r="F64" s="43" t="str">
        <f>VLOOKUP(B64,'Working time'!B:F,5,0)</f>
        <v>Production Operator</v>
      </c>
      <c r="G64" s="44" t="str">
        <f>VLOOKUP(B64,'Working time'!B:G,6,0)</f>
        <v>25/11/2025</v>
      </c>
      <c r="H64" s="93" t="s">
        <v>471</v>
      </c>
      <c r="I64" s="70" t="s">
        <v>376</v>
      </c>
      <c r="J64" s="70">
        <v>1</v>
      </c>
      <c r="K64" s="70"/>
    </row>
    <row r="65" spans="1:11">
      <c r="A65" s="70"/>
      <c r="B65" s="42" t="s">
        <v>211</v>
      </c>
      <c r="C65" s="70"/>
      <c r="D65" s="43" t="str">
        <f>VLOOKUP(B65,'Working time'!B:D,3,0)</f>
        <v>Nguyễn Thị Hương</v>
      </c>
      <c r="E65" s="43" t="str">
        <f>VLOOKUP(B65,'Working time'!B:F,4,0)</f>
        <v>Production</v>
      </c>
      <c r="F65" s="43" t="str">
        <f>VLOOKUP(B65,'Working time'!B:F,5,0)</f>
        <v>Production Operator</v>
      </c>
      <c r="G65" s="44" t="str">
        <f>VLOOKUP(B65,'Working time'!B:G,6,0)</f>
        <v>25/11/2025</v>
      </c>
      <c r="H65" s="93">
        <v>46303</v>
      </c>
      <c r="I65" s="70" t="s">
        <v>507</v>
      </c>
      <c r="J65" s="70">
        <v>1</v>
      </c>
      <c r="K65" s="70" t="s">
        <v>504</v>
      </c>
    </row>
    <row r="66" spans="1:11">
      <c r="A66" s="70"/>
      <c r="B66" s="42" t="s">
        <v>211</v>
      </c>
      <c r="C66" s="70"/>
      <c r="D66" s="43" t="str">
        <f>VLOOKUP(B66,'Working time'!B:D,3,0)</f>
        <v>Nguyễn Thị Hương</v>
      </c>
      <c r="E66" s="43" t="str">
        <f>VLOOKUP(B66,'Working time'!B:F,4,0)</f>
        <v>Production</v>
      </c>
      <c r="F66" s="43" t="str">
        <f>VLOOKUP(B66,'Working time'!B:F,5,0)</f>
        <v>Production Operator</v>
      </c>
      <c r="G66" s="44" t="str">
        <f>VLOOKUP(B66,'Working time'!B:G,6,0)</f>
        <v>25/11/2025</v>
      </c>
      <c r="H66" s="93">
        <v>46334</v>
      </c>
      <c r="I66" s="70" t="s">
        <v>507</v>
      </c>
      <c r="J66" s="70">
        <v>1</v>
      </c>
      <c r="K66" s="70" t="s">
        <v>504</v>
      </c>
    </row>
    <row r="67" spans="1:11" ht="25.5">
      <c r="A67" s="70"/>
      <c r="B67" s="42" t="s">
        <v>212</v>
      </c>
      <c r="C67" s="70"/>
      <c r="D67" s="43" t="str">
        <f>VLOOKUP(B67,'Working time'!B:D,3,0)</f>
        <v>Nguyễn Thị Cẩm Hằng</v>
      </c>
      <c r="E67" s="43" t="str">
        <f>VLOOKUP(B67,'Working time'!B:F,4,0)</f>
        <v>Production</v>
      </c>
      <c r="F67" s="43" t="str">
        <f>VLOOKUP(B67,'Working time'!B:F,5,0)</f>
        <v>Production Operator</v>
      </c>
      <c r="G67" s="44" t="str">
        <f>VLOOKUP(B67,'Working time'!B:G,6,0)</f>
        <v>25/11/2025</v>
      </c>
      <c r="H67" s="93">
        <v>46150</v>
      </c>
      <c r="I67" s="70" t="s">
        <v>459</v>
      </c>
      <c r="J67" s="70">
        <v>1</v>
      </c>
      <c r="K67" s="70"/>
    </row>
    <row r="68" spans="1:11" ht="25.5">
      <c r="A68" s="70"/>
      <c r="B68" s="42" t="s">
        <v>212</v>
      </c>
      <c r="C68" s="70"/>
      <c r="D68" s="43" t="str">
        <f>VLOOKUP(B68,'Working time'!B:D,3,0)</f>
        <v>Nguyễn Thị Cẩm Hằng</v>
      </c>
      <c r="E68" s="43" t="str">
        <f>VLOOKUP(B68,'Working time'!B:F,4,0)</f>
        <v>Production</v>
      </c>
      <c r="F68" s="43" t="str">
        <f>VLOOKUP(B68,'Working time'!B:F,5,0)</f>
        <v>Production Operator</v>
      </c>
      <c r="G68" s="44" t="str">
        <f>VLOOKUP(B68,'Working time'!B:G,6,0)</f>
        <v>25/11/2025</v>
      </c>
      <c r="H68" s="93">
        <v>46120</v>
      </c>
      <c r="I68" s="70" t="s">
        <v>459</v>
      </c>
      <c r="J68" s="70">
        <v>1</v>
      </c>
      <c r="K68" s="70"/>
    </row>
    <row r="69" spans="1:11" ht="25.5">
      <c r="A69" s="70"/>
      <c r="B69" s="42" t="s">
        <v>221</v>
      </c>
      <c r="C69" s="43"/>
      <c r="D69" s="43" t="str">
        <f>VLOOKUP(B69,'Working time'!B:D,3,0)</f>
        <v>Nguyễn Thị Diệu Minh</v>
      </c>
      <c r="E69" s="43" t="str">
        <f>VLOOKUP(B69,'Working time'!B:F,4,0)</f>
        <v>Production</v>
      </c>
      <c r="F69" s="43" t="str">
        <f>VLOOKUP(B69,'Working time'!B:F,5,0)</f>
        <v>Production Operator</v>
      </c>
      <c r="G69" s="44" t="str">
        <f>VLOOKUP(B69,'Working time'!B:G,6,0)</f>
        <v>16/12/2025</v>
      </c>
      <c r="H69" s="93">
        <v>46242</v>
      </c>
      <c r="I69" s="70" t="s">
        <v>459</v>
      </c>
      <c r="J69" s="70">
        <v>1</v>
      </c>
      <c r="K69" s="70"/>
    </row>
    <row r="70" spans="1:11" ht="25.5">
      <c r="A70" s="70"/>
      <c r="B70" s="42" t="s">
        <v>221</v>
      </c>
      <c r="C70" s="70"/>
      <c r="D70" s="43" t="str">
        <f>VLOOKUP(B70,'Working time'!B:D,3,0)</f>
        <v>Nguyễn Thị Diệu Minh</v>
      </c>
      <c r="E70" s="43" t="str">
        <f>VLOOKUP(B70,'Working time'!B:F,4,0)</f>
        <v>Production</v>
      </c>
      <c r="F70" s="43" t="str">
        <f>VLOOKUP(B70,'Working time'!B:F,5,0)</f>
        <v>Production Operator</v>
      </c>
      <c r="G70" s="44" t="str">
        <f>VLOOKUP(B70,'Working time'!B:G,6,0)</f>
        <v>16/12/2025</v>
      </c>
      <c r="H70" s="93">
        <v>46089</v>
      </c>
      <c r="I70" s="70" t="s">
        <v>376</v>
      </c>
      <c r="J70" s="70">
        <v>1</v>
      </c>
      <c r="K70" s="70"/>
    </row>
    <row r="71" spans="1:11" ht="25.5">
      <c r="A71" s="70"/>
      <c r="B71" s="42" t="s">
        <v>221</v>
      </c>
      <c r="C71" s="70"/>
      <c r="D71" s="43" t="str">
        <f>VLOOKUP(B71,'Working time'!B:D,3,0)</f>
        <v>Nguyễn Thị Diệu Minh</v>
      </c>
      <c r="E71" s="43" t="str">
        <f>VLOOKUP(B71,'Working time'!B:F,4,0)</f>
        <v>Production</v>
      </c>
      <c r="F71" s="43" t="str">
        <f>VLOOKUP(B71,'Working time'!B:F,5,0)</f>
        <v>Production Operator</v>
      </c>
      <c r="G71" s="44" t="str">
        <f>VLOOKUP(B71,'Working time'!B:G,6,0)</f>
        <v>16/12/2025</v>
      </c>
      <c r="H71" s="93">
        <v>46030</v>
      </c>
      <c r="I71" s="70" t="s">
        <v>459</v>
      </c>
      <c r="J71" s="70">
        <v>1</v>
      </c>
      <c r="K71" s="70"/>
    </row>
    <row r="72" spans="1:11" ht="25.5">
      <c r="A72" s="70"/>
      <c r="B72" s="42" t="s">
        <v>221</v>
      </c>
      <c r="C72" s="70"/>
      <c r="D72" s="43" t="str">
        <f>VLOOKUP(B72,'Working time'!B:D,3,0)</f>
        <v>Nguyễn Thị Diệu Minh</v>
      </c>
      <c r="E72" s="43" t="str">
        <f>VLOOKUP(B72,'Working time'!B:F,4,0)</f>
        <v>Production</v>
      </c>
      <c r="F72" s="43" t="str">
        <f>VLOOKUP(B72,'Working time'!B:F,5,0)</f>
        <v>Production Operator</v>
      </c>
      <c r="G72" s="44" t="str">
        <f>VLOOKUP(B72,'Working time'!B:G,6,0)</f>
        <v>16/12/2025</v>
      </c>
      <c r="H72" s="93">
        <v>46089</v>
      </c>
      <c r="I72" s="70" t="s">
        <v>459</v>
      </c>
      <c r="J72" s="70">
        <v>1</v>
      </c>
      <c r="K72" s="70"/>
    </row>
    <row r="73" spans="1:11" ht="25.5">
      <c r="A73" s="70"/>
      <c r="B73" s="42" t="s">
        <v>221</v>
      </c>
      <c r="C73" s="70"/>
      <c r="D73" s="43" t="str">
        <f>VLOOKUP(B73,'Working time'!B:D,3,0)</f>
        <v>Nguyễn Thị Diệu Minh</v>
      </c>
      <c r="E73" s="43" t="str">
        <f>VLOOKUP(B73,'Working time'!B:F,4,0)</f>
        <v>Production</v>
      </c>
      <c r="F73" s="43" t="str">
        <f>VLOOKUP(B73,'Working time'!B:F,5,0)</f>
        <v>Production Operator</v>
      </c>
      <c r="G73" s="44" t="str">
        <f>VLOOKUP(B73,'Working time'!B:G,6,0)</f>
        <v>16/12/2025</v>
      </c>
      <c r="H73" s="93">
        <v>46120</v>
      </c>
      <c r="I73" s="70" t="s">
        <v>459</v>
      </c>
      <c r="J73" s="70">
        <v>1</v>
      </c>
      <c r="K73" s="70"/>
    </row>
    <row r="74" spans="1:11" ht="25.5">
      <c r="A74" s="70"/>
      <c r="B74" s="42" t="s">
        <v>221</v>
      </c>
      <c r="C74" s="70"/>
      <c r="D74" s="43" t="str">
        <f>VLOOKUP(B74,'Working time'!B:D,3,0)</f>
        <v>Nguyễn Thị Diệu Minh</v>
      </c>
      <c r="E74" s="43" t="str">
        <f>VLOOKUP(B74,'Working time'!B:F,4,0)</f>
        <v>Production</v>
      </c>
      <c r="F74" s="43" t="str">
        <f>VLOOKUP(B74,'Working time'!B:F,5,0)</f>
        <v>Production Operator</v>
      </c>
      <c r="G74" s="44" t="str">
        <f>VLOOKUP(B74,'Working time'!B:G,6,0)</f>
        <v>16/12/2025</v>
      </c>
      <c r="H74" s="93">
        <v>46211</v>
      </c>
      <c r="I74" s="70" t="s">
        <v>459</v>
      </c>
      <c r="J74" s="70">
        <v>1</v>
      </c>
      <c r="K74" s="70"/>
    </row>
    <row r="75" spans="1:11" ht="25.5">
      <c r="A75" s="70"/>
      <c r="B75" s="42" t="s">
        <v>228</v>
      </c>
      <c r="C75" s="70"/>
      <c r="D75" s="43" t="str">
        <f>VLOOKUP(B75,'Working time'!B:D,3,0)</f>
        <v>Hà Ngọc Lưu</v>
      </c>
      <c r="E75" s="43" t="str">
        <f>VLOOKUP(B75,'Working time'!B:F,4,0)</f>
        <v>WH</v>
      </c>
      <c r="F75" s="43" t="str">
        <f>VLOOKUP(B75,'Working time'!B:F,5,0)</f>
        <v>Warehouse Team Leader</v>
      </c>
      <c r="G75" s="44" t="str">
        <f>VLOOKUP(B75,'Working time'!B:G,6,0)</f>
        <v>09/01/2026</v>
      </c>
      <c r="H75" s="93">
        <v>46211</v>
      </c>
      <c r="I75" s="70" t="s">
        <v>507</v>
      </c>
      <c r="J75" s="70">
        <v>1</v>
      </c>
      <c r="K75" s="70" t="s">
        <v>504</v>
      </c>
    </row>
    <row r="76" spans="1:11">
      <c r="A76" s="70"/>
      <c r="B76" s="42" t="s">
        <v>254</v>
      </c>
      <c r="C76" s="70"/>
      <c r="D76" s="43" t="str">
        <f>VLOOKUP(B76,'Working time'!B:D,3,0)</f>
        <v>Nguyễn Tiến Đạt</v>
      </c>
      <c r="E76" s="43" t="str">
        <f>VLOOKUP(B77,'Working time'!B:F,4,0)</f>
        <v>Production</v>
      </c>
      <c r="F76" s="43" t="str">
        <f>VLOOKUP(B77,'Working time'!B:F,5,0)</f>
        <v>Production Operator</v>
      </c>
      <c r="G76" s="44" t="str">
        <f>VLOOKUP(B77,'Working time'!B:G,6,0)</f>
        <v>25/02/2026</v>
      </c>
      <c r="H76" s="93" t="s">
        <v>473</v>
      </c>
      <c r="I76" s="70" t="s">
        <v>459</v>
      </c>
      <c r="J76" s="70">
        <v>1</v>
      </c>
      <c r="K76" s="70"/>
    </row>
    <row r="77" spans="1:11">
      <c r="A77" s="70"/>
      <c r="B77" s="42" t="s">
        <v>254</v>
      </c>
      <c r="C77" s="70"/>
      <c r="D77" s="43" t="str">
        <f>VLOOKUP(B77,'Working time'!B:D,3,0)</f>
        <v>Nguyễn Tiến Đạt</v>
      </c>
      <c r="E77" s="43" t="str">
        <f>VLOOKUP(B78,'Working time'!B:F,4,0)</f>
        <v>Production</v>
      </c>
      <c r="F77" s="43" t="str">
        <f>VLOOKUP(B78,'Working time'!B:F,5,0)</f>
        <v>Production Operator</v>
      </c>
      <c r="G77" s="44" t="str">
        <f>VLOOKUP(B78,'Working time'!B:G,6,0)</f>
        <v>26/02/2026</v>
      </c>
      <c r="H77" s="93" t="s">
        <v>467</v>
      </c>
      <c r="I77" s="70" t="s">
        <v>459</v>
      </c>
      <c r="J77" s="70">
        <v>1</v>
      </c>
      <c r="K77" s="70"/>
    </row>
    <row r="78" spans="1:11">
      <c r="A78" s="70"/>
      <c r="B78" s="42" t="s">
        <v>266</v>
      </c>
      <c r="C78" s="43"/>
      <c r="D78" s="43" t="str">
        <f>VLOOKUP(B78,'Working time'!B:D,3,0)</f>
        <v>Trần Văn Trí</v>
      </c>
      <c r="E78" s="43" t="str">
        <f>VLOOKUP(B78,'Working time'!B:F,4,0)</f>
        <v>Production</v>
      </c>
      <c r="F78" s="43" t="str">
        <f>VLOOKUP(B78,'Working time'!B:F,5,0)</f>
        <v>Production Operator</v>
      </c>
      <c r="G78" s="44" t="str">
        <f>VLOOKUP(B78,'Working time'!B:G,6,0)</f>
        <v>26/02/2026</v>
      </c>
      <c r="H78" s="93">
        <v>46211</v>
      </c>
      <c r="I78" s="70" t="s">
        <v>459</v>
      </c>
      <c r="J78" s="70">
        <v>1</v>
      </c>
      <c r="K78" s="70"/>
    </row>
    <row r="79" spans="1:11">
      <c r="A79" s="70"/>
      <c r="B79" s="42" t="s">
        <v>266</v>
      </c>
      <c r="C79" s="70"/>
      <c r="D79" s="43" t="str">
        <f>VLOOKUP(B79,'Working time'!B:D,3,0)</f>
        <v>Trần Văn Trí</v>
      </c>
      <c r="E79" s="43" t="str">
        <f>VLOOKUP(B79,'Working time'!B:F,4,0)</f>
        <v>Production</v>
      </c>
      <c r="F79" s="43" t="str">
        <f>VLOOKUP(B79,'Working time'!B:F,5,0)</f>
        <v>Production Operator</v>
      </c>
      <c r="G79" s="44" t="str">
        <f>VLOOKUP(B79,'Working time'!B:G,6,0)</f>
        <v>26/02/2026</v>
      </c>
      <c r="H79" s="93" t="s">
        <v>468</v>
      </c>
      <c r="I79" s="70" t="s">
        <v>459</v>
      </c>
      <c r="J79" s="70">
        <v>1</v>
      </c>
      <c r="K79" s="70"/>
    </row>
    <row r="80" spans="1:11">
      <c r="A80" s="70"/>
      <c r="B80" s="42" t="s">
        <v>266</v>
      </c>
      <c r="C80" s="70"/>
      <c r="D80" s="43" t="str">
        <f>VLOOKUP(B80,'Working time'!B:D,3,0)</f>
        <v>Trần Văn Trí</v>
      </c>
      <c r="E80" s="43" t="str">
        <f>VLOOKUP(B80,'Working time'!B:F,4,0)</f>
        <v>Production</v>
      </c>
      <c r="F80" s="43" t="str">
        <f>VLOOKUP(B80,'Working time'!B:F,5,0)</f>
        <v>Production Operator</v>
      </c>
      <c r="G80" s="44" t="str">
        <f>VLOOKUP(B80,'Working time'!B:G,6,0)</f>
        <v>26/02/2026</v>
      </c>
      <c r="H80" s="93" t="s">
        <v>464</v>
      </c>
      <c r="I80" s="70" t="s">
        <v>459</v>
      </c>
      <c r="J80" s="70">
        <v>1</v>
      </c>
      <c r="K80" s="70"/>
    </row>
    <row r="81" spans="1:11">
      <c r="A81" s="70"/>
      <c r="B81" s="42" t="s">
        <v>266</v>
      </c>
      <c r="C81" s="70"/>
      <c r="D81" s="43" t="str">
        <f>VLOOKUP(B81,'Working time'!B:D,3,0)</f>
        <v>Trần Văn Trí</v>
      </c>
      <c r="E81" s="43" t="str">
        <f>VLOOKUP(B81,'Working time'!B:F,4,0)</f>
        <v>Production</v>
      </c>
      <c r="F81" s="43" t="str">
        <f>VLOOKUP(B81,'Working time'!B:F,5,0)</f>
        <v>Production Operator</v>
      </c>
      <c r="G81" s="44" t="str">
        <f>VLOOKUP(B81,'Working time'!B:G,6,0)</f>
        <v>26/02/2026</v>
      </c>
      <c r="H81" s="93" t="s">
        <v>463</v>
      </c>
      <c r="I81" s="70" t="s">
        <v>459</v>
      </c>
      <c r="J81" s="70">
        <v>1</v>
      </c>
      <c r="K81" s="70"/>
    </row>
    <row r="82" spans="1:11">
      <c r="A82" s="70"/>
      <c r="B82" s="42" t="s">
        <v>257</v>
      </c>
      <c r="C82" s="70"/>
      <c r="D82" s="43" t="str">
        <f>VLOOKUP(B82,'Working time'!B:D,3,0)</f>
        <v>Phạm Lí Hùng</v>
      </c>
      <c r="E82" s="43" t="str">
        <f>VLOOKUP(B82,'Working time'!B:F,4,0)</f>
        <v>WH</v>
      </c>
      <c r="F82" s="43" t="str">
        <f>VLOOKUP(B82,'Working time'!B:F,5,0)</f>
        <v>WH Operator</v>
      </c>
      <c r="G82" s="44" t="str">
        <f>VLOOKUP(B82,'Working time'!B:G,6,0)</f>
        <v>03/03/2026</v>
      </c>
      <c r="H82" s="93">
        <v>46211</v>
      </c>
      <c r="I82" s="70" t="s">
        <v>459</v>
      </c>
      <c r="J82" s="70">
        <v>1</v>
      </c>
      <c r="K82" s="70"/>
    </row>
    <row r="83" spans="1:11">
      <c r="A83" s="70"/>
      <c r="B83" s="42" t="s">
        <v>258</v>
      </c>
      <c r="C83" s="70"/>
      <c r="D83" s="43" t="str">
        <f>VLOOKUP(B83,'Working time'!B:D,3,0)</f>
        <v>Phạm Quang Vinh</v>
      </c>
      <c r="E83" s="43" t="str">
        <f>VLOOKUP(B83,'Working time'!B:F,4,0)</f>
        <v>WH</v>
      </c>
      <c r="F83" s="43" t="str">
        <f>VLOOKUP(B83,'Working time'!B:F,5,0)</f>
        <v>WH Staff</v>
      </c>
      <c r="G83" s="44" t="str">
        <f>VLOOKUP(B83,'Working time'!B:G,6,0)</f>
        <v>05/03/2026</v>
      </c>
      <c r="H83" s="93" t="s">
        <v>466</v>
      </c>
      <c r="I83" s="70" t="s">
        <v>459</v>
      </c>
      <c r="J83" s="70">
        <v>1</v>
      </c>
      <c r="K83" s="70"/>
    </row>
    <row r="84" spans="1:11">
      <c r="A84" s="70"/>
      <c r="B84" s="42" t="s">
        <v>258</v>
      </c>
      <c r="C84" s="70"/>
      <c r="D84" s="43" t="str">
        <f>VLOOKUP(B84,'Working time'!B:D,3,0)</f>
        <v>Phạm Quang Vinh</v>
      </c>
      <c r="E84" s="43" t="str">
        <f>VLOOKUP(B84,'Working time'!B:F,4,0)</f>
        <v>WH</v>
      </c>
      <c r="F84" s="43" t="str">
        <f>VLOOKUP(B84,'Working time'!B:F,5,0)</f>
        <v>WH Staff</v>
      </c>
      <c r="G84" s="44" t="str">
        <f>VLOOKUP(B84,'Working time'!B:G,6,0)</f>
        <v>05/03/2026</v>
      </c>
      <c r="H84" s="93" t="s">
        <v>464</v>
      </c>
      <c r="I84" s="70" t="s">
        <v>376</v>
      </c>
      <c r="J84" s="70">
        <v>1</v>
      </c>
      <c r="K84" s="70"/>
    </row>
    <row r="85" spans="1:11">
      <c r="A85" s="70"/>
      <c r="B85" s="42" t="s">
        <v>260</v>
      </c>
      <c r="C85" s="70"/>
      <c r="D85" s="43" t="str">
        <f>VLOOKUP(B85,'Working time'!B:D,3,0)</f>
        <v>Phạm Văn Giang</v>
      </c>
      <c r="E85" s="43" t="str">
        <f>VLOOKUP(B85,'Working time'!B:F,4,0)</f>
        <v>WH</v>
      </c>
      <c r="F85" s="43" t="str">
        <f>VLOOKUP(B85,'Working time'!B:F,5,0)</f>
        <v>WH Operator</v>
      </c>
      <c r="G85" s="44" t="str">
        <f>VLOOKUP(B85,'Working time'!B:G,6,0)</f>
        <v>06/03/2026</v>
      </c>
      <c r="H85" s="93">
        <v>46150</v>
      </c>
      <c r="I85" s="70" t="s">
        <v>376</v>
      </c>
      <c r="J85" s="70">
        <v>1</v>
      </c>
      <c r="K85" s="70"/>
    </row>
    <row r="86" spans="1:11">
      <c r="A86" s="70"/>
      <c r="B86" s="42" t="s">
        <v>275</v>
      </c>
      <c r="C86" s="70"/>
      <c r="D86" s="43" t="str">
        <f>VLOOKUP(B86,'Working time'!B:D,3,0)</f>
        <v>Nguyễn Diệu Hân</v>
      </c>
      <c r="E86" s="43" t="str">
        <f>VLOOKUP(B86,'Working time'!B:F,4,0)</f>
        <v>Production</v>
      </c>
      <c r="F86" s="43" t="str">
        <f>VLOOKUP(B86,'Working time'!B:F,5,0)</f>
        <v>Production Operator</v>
      </c>
      <c r="G86" s="44" t="str">
        <f>VLOOKUP(B86,'Working time'!B:G,6,0)</f>
        <v>11/03/2026</v>
      </c>
      <c r="H86" s="93">
        <v>46211</v>
      </c>
      <c r="I86" s="70" t="s">
        <v>515</v>
      </c>
      <c r="J86" s="70">
        <v>1</v>
      </c>
      <c r="K86" s="70" t="s">
        <v>460</v>
      </c>
    </row>
    <row r="87" spans="1:11">
      <c r="A87" s="70"/>
      <c r="B87" s="42" t="s">
        <v>275</v>
      </c>
      <c r="C87" s="70"/>
      <c r="D87" s="43" t="str">
        <f>VLOOKUP(B87,'Working time'!B:D,3,0)</f>
        <v>Nguyễn Diệu Hân</v>
      </c>
      <c r="E87" s="43" t="str">
        <f>VLOOKUP(B87,'Working time'!B:F,4,0)</f>
        <v>Production</v>
      </c>
      <c r="F87" s="43" t="str">
        <f>VLOOKUP(B87,'Working time'!B:F,5,0)</f>
        <v>Production Operator</v>
      </c>
      <c r="G87" s="44" t="str">
        <f>VLOOKUP(B87,'Working time'!B:G,6,0)</f>
        <v>11/03/2026</v>
      </c>
      <c r="H87" s="93">
        <v>46242</v>
      </c>
      <c r="I87" s="70" t="s">
        <v>515</v>
      </c>
      <c r="J87" s="70">
        <v>1</v>
      </c>
      <c r="K87" s="70" t="s">
        <v>460</v>
      </c>
    </row>
    <row r="88" spans="1:11">
      <c r="A88" s="70"/>
      <c r="B88" s="42" t="s">
        <v>275</v>
      </c>
      <c r="C88" s="70"/>
      <c r="D88" s="43" t="str">
        <f>VLOOKUP(B88,'Working time'!B:D,3,0)</f>
        <v>Nguyễn Diệu Hân</v>
      </c>
      <c r="E88" s="43" t="str">
        <f>VLOOKUP(B88,'Working time'!B:F,4,0)</f>
        <v>Production</v>
      </c>
      <c r="F88" s="43" t="str">
        <f>VLOOKUP(B88,'Working time'!B:F,5,0)</f>
        <v>Production Operator</v>
      </c>
      <c r="G88" s="44" t="str">
        <f>VLOOKUP(B88,'Working time'!B:G,6,0)</f>
        <v>11/03/2026</v>
      </c>
      <c r="H88" s="93">
        <v>46273</v>
      </c>
      <c r="I88" s="70" t="s">
        <v>515</v>
      </c>
      <c r="J88" s="70">
        <v>1</v>
      </c>
      <c r="K88" s="70" t="s">
        <v>460</v>
      </c>
    </row>
    <row r="89" spans="1:11">
      <c r="A89" s="70"/>
      <c r="B89" s="42" t="s">
        <v>275</v>
      </c>
      <c r="C89" s="70"/>
      <c r="D89" s="43" t="str">
        <f>VLOOKUP(B89,'Working time'!B:D,3,0)</f>
        <v>Nguyễn Diệu Hân</v>
      </c>
      <c r="E89" s="43" t="str">
        <f>VLOOKUP(B89,'Working time'!B:F,4,0)</f>
        <v>Production</v>
      </c>
      <c r="F89" s="43" t="str">
        <f>VLOOKUP(B89,'Working time'!B:F,5,0)</f>
        <v>Production Operator</v>
      </c>
      <c r="G89" s="44" t="str">
        <f>VLOOKUP(B89,'Working time'!B:G,6,0)</f>
        <v>11/03/2026</v>
      </c>
      <c r="H89" s="93">
        <v>46303</v>
      </c>
      <c r="I89" s="70" t="s">
        <v>515</v>
      </c>
      <c r="J89" s="70">
        <v>1</v>
      </c>
      <c r="K89" s="70" t="s">
        <v>460</v>
      </c>
    </row>
    <row r="90" spans="1:11">
      <c r="A90" s="70"/>
      <c r="B90" s="42" t="s">
        <v>275</v>
      </c>
      <c r="C90" s="70"/>
      <c r="D90" s="43" t="str">
        <f>VLOOKUP(B90,'Working time'!B:D,3,0)</f>
        <v>Nguyễn Diệu Hân</v>
      </c>
      <c r="E90" s="43" t="str">
        <f>VLOOKUP(B90,'Working time'!B:F,4,0)</f>
        <v>Production</v>
      </c>
      <c r="F90" s="43" t="str">
        <f>VLOOKUP(B90,'Working time'!B:F,5,0)</f>
        <v>Production Operator</v>
      </c>
      <c r="G90" s="44" t="str">
        <f>VLOOKUP(B90,'Working time'!B:G,6,0)</f>
        <v>11/03/2026</v>
      </c>
      <c r="H90" s="93">
        <v>46334</v>
      </c>
      <c r="I90" s="70" t="s">
        <v>515</v>
      </c>
      <c r="J90" s="70">
        <v>1</v>
      </c>
      <c r="K90" s="70" t="s">
        <v>460</v>
      </c>
    </row>
    <row r="91" spans="1:11">
      <c r="A91" s="70"/>
      <c r="B91" s="42" t="s">
        <v>275</v>
      </c>
      <c r="C91" s="70"/>
      <c r="D91" s="43" t="str">
        <f>VLOOKUP(B91,'Working time'!B:D,3,0)</f>
        <v>Nguyễn Diệu Hân</v>
      </c>
      <c r="E91" s="43" t="str">
        <f>VLOOKUP(B91,'Working time'!B:F,4,0)</f>
        <v>Production</v>
      </c>
      <c r="F91" s="43" t="str">
        <f>VLOOKUP(B91,'Working time'!B:F,5,0)</f>
        <v>Production Operator</v>
      </c>
      <c r="G91" s="44" t="str">
        <f>VLOOKUP(B91,'Working time'!B:G,6,0)</f>
        <v>11/03/2026</v>
      </c>
      <c r="H91" s="93">
        <v>46364</v>
      </c>
      <c r="I91" s="70" t="s">
        <v>515</v>
      </c>
      <c r="J91" s="70">
        <v>1</v>
      </c>
      <c r="K91" s="70" t="s">
        <v>460</v>
      </c>
    </row>
    <row r="92" spans="1:11">
      <c r="A92" s="70"/>
      <c r="B92" s="42" t="s">
        <v>275</v>
      </c>
      <c r="C92" s="70"/>
      <c r="D92" s="43" t="str">
        <f>VLOOKUP(B92,'Working time'!B:D,3,0)</f>
        <v>Nguyễn Diệu Hân</v>
      </c>
      <c r="E92" s="43" t="str">
        <f>VLOOKUP(B92,'Working time'!B:F,4,0)</f>
        <v>Production</v>
      </c>
      <c r="F92" s="43" t="str">
        <f>VLOOKUP(B92,'Working time'!B:F,5,0)</f>
        <v>Production Operator</v>
      </c>
      <c r="G92" s="44" t="str">
        <f>VLOOKUP(B92,'Working time'!B:G,6,0)</f>
        <v>11/03/2026</v>
      </c>
      <c r="H92" s="93" t="s">
        <v>475</v>
      </c>
      <c r="I92" s="70" t="s">
        <v>515</v>
      </c>
      <c r="J92" s="70">
        <v>1</v>
      </c>
      <c r="K92" s="70" t="s">
        <v>460</v>
      </c>
    </row>
    <row r="93" spans="1:11">
      <c r="A93" s="70"/>
      <c r="B93" s="42" t="s">
        <v>275</v>
      </c>
      <c r="C93" s="70"/>
      <c r="D93" s="43" t="str">
        <f>VLOOKUP(B93,'Working time'!B:D,3,0)</f>
        <v>Nguyễn Diệu Hân</v>
      </c>
      <c r="E93" s="43" t="str">
        <f>VLOOKUP(B93,'Working time'!B:F,4,0)</f>
        <v>Production</v>
      </c>
      <c r="F93" s="43" t="str">
        <f>VLOOKUP(B93,'Working time'!B:F,5,0)</f>
        <v>Production Operator</v>
      </c>
      <c r="G93" s="44" t="str">
        <f>VLOOKUP(B93,'Working time'!B:G,6,0)</f>
        <v>11/03/2026</v>
      </c>
      <c r="H93" s="93" t="s">
        <v>498</v>
      </c>
      <c r="I93" s="70" t="s">
        <v>515</v>
      </c>
      <c r="J93" s="70">
        <v>1</v>
      </c>
      <c r="K93" s="70" t="s">
        <v>504</v>
      </c>
    </row>
    <row r="94" spans="1:11">
      <c r="A94" s="70"/>
      <c r="B94" s="42" t="s">
        <v>275</v>
      </c>
      <c r="C94" s="70"/>
      <c r="D94" s="43" t="str">
        <f>VLOOKUP(B94,'Working time'!B:D,3,0)</f>
        <v>Nguyễn Diệu Hân</v>
      </c>
      <c r="E94" s="43" t="str">
        <f>VLOOKUP(B94,'Working time'!B:F,4,0)</f>
        <v>Production</v>
      </c>
      <c r="F94" s="43" t="str">
        <f>VLOOKUP(B94,'Working time'!B:F,5,0)</f>
        <v>Production Operator</v>
      </c>
      <c r="G94" s="44" t="str">
        <f>VLOOKUP(B94,'Working time'!B:G,6,0)</f>
        <v>11/03/2026</v>
      </c>
      <c r="H94" s="93" t="s">
        <v>499</v>
      </c>
      <c r="I94" s="70" t="s">
        <v>515</v>
      </c>
      <c r="J94" s="70">
        <v>1</v>
      </c>
      <c r="K94" s="70" t="s">
        <v>504</v>
      </c>
    </row>
    <row r="95" spans="1:11">
      <c r="A95" s="70"/>
      <c r="B95" s="42" t="s">
        <v>275</v>
      </c>
      <c r="C95" s="70"/>
      <c r="D95" s="43" t="str">
        <f>VLOOKUP(B95,'Working time'!B:D,3,0)</f>
        <v>Nguyễn Diệu Hân</v>
      </c>
      <c r="E95" s="43" t="str">
        <f>VLOOKUP(B95,'Working time'!B:F,4,0)</f>
        <v>Production</v>
      </c>
      <c r="F95" s="43" t="str">
        <f>VLOOKUP(B95,'Working time'!B:F,5,0)</f>
        <v>Production Operator</v>
      </c>
      <c r="G95" s="44" t="str">
        <f>VLOOKUP(B95,'Working time'!B:G,6,0)</f>
        <v>11/03/2026</v>
      </c>
      <c r="H95" s="93" t="s">
        <v>500</v>
      </c>
      <c r="I95" s="70" t="s">
        <v>515</v>
      </c>
      <c r="J95" s="70">
        <v>1</v>
      </c>
      <c r="K95" s="70" t="s">
        <v>504</v>
      </c>
    </row>
    <row r="96" spans="1:11">
      <c r="A96" s="70"/>
      <c r="B96" s="42" t="s">
        <v>275</v>
      </c>
      <c r="C96" s="70"/>
      <c r="D96" s="43" t="str">
        <f>VLOOKUP(B96,'Working time'!B:D,3,0)</f>
        <v>Nguyễn Diệu Hân</v>
      </c>
      <c r="E96" s="43" t="str">
        <f>VLOOKUP(B96,'Working time'!B:F,4,0)</f>
        <v>Production</v>
      </c>
      <c r="F96" s="43" t="str">
        <f>VLOOKUP(B96,'Working time'!B:F,5,0)</f>
        <v>Production Operator</v>
      </c>
      <c r="G96" s="44" t="str">
        <f>VLOOKUP(B96,'Working time'!B:G,6,0)</f>
        <v>11/03/2026</v>
      </c>
      <c r="H96" s="93" t="s">
        <v>501</v>
      </c>
      <c r="I96" s="70" t="s">
        <v>515</v>
      </c>
      <c r="J96" s="70">
        <v>1</v>
      </c>
      <c r="K96" s="70" t="s">
        <v>504</v>
      </c>
    </row>
    <row r="97" spans="1:11">
      <c r="A97" s="70"/>
      <c r="B97" s="42" t="s">
        <v>275</v>
      </c>
      <c r="C97" s="70"/>
      <c r="D97" s="43" t="str">
        <f>VLOOKUP(B97,'Working time'!B:D,3,0)</f>
        <v>Nguyễn Diệu Hân</v>
      </c>
      <c r="E97" s="43" t="str">
        <f>VLOOKUP(B97,'Working time'!B:F,4,0)</f>
        <v>Production</v>
      </c>
      <c r="F97" s="43" t="str">
        <f>VLOOKUP(B97,'Working time'!B:F,5,0)</f>
        <v>Production Operator</v>
      </c>
      <c r="G97" s="44" t="str">
        <f>VLOOKUP(B97,'Working time'!B:G,6,0)</f>
        <v>11/03/2026</v>
      </c>
      <c r="H97" s="93" t="s">
        <v>502</v>
      </c>
      <c r="I97" s="70" t="s">
        <v>515</v>
      </c>
      <c r="J97" s="70">
        <v>1</v>
      </c>
      <c r="K97" s="70" t="s">
        <v>504</v>
      </c>
    </row>
    <row r="98" spans="1:11">
      <c r="A98" s="70"/>
      <c r="B98" s="42" t="s">
        <v>275</v>
      </c>
      <c r="C98" s="70"/>
      <c r="D98" s="43" t="str">
        <f>VLOOKUP(B98,'Working time'!B:D,3,0)</f>
        <v>Nguyễn Diệu Hân</v>
      </c>
      <c r="E98" s="43" t="str">
        <f>VLOOKUP(B98,'Working time'!B:F,4,0)</f>
        <v>Production</v>
      </c>
      <c r="F98" s="43" t="str">
        <f>VLOOKUP(B98,'Working time'!B:F,5,0)</f>
        <v>Production Operator</v>
      </c>
      <c r="G98" s="44" t="str">
        <f>VLOOKUP(B98,'Working time'!B:G,6,0)</f>
        <v>11/03/2026</v>
      </c>
      <c r="H98" s="93" t="s">
        <v>503</v>
      </c>
      <c r="I98" s="70" t="s">
        <v>515</v>
      </c>
      <c r="J98" s="70">
        <v>1</v>
      </c>
      <c r="K98" s="70" t="s">
        <v>504</v>
      </c>
    </row>
    <row r="99" spans="1:11">
      <c r="A99" s="70"/>
      <c r="B99" s="42" t="s">
        <v>276</v>
      </c>
      <c r="C99" s="70"/>
      <c r="D99" s="43" t="str">
        <f>VLOOKUP(B99,'Working time'!B:D,3,0)</f>
        <v>Mã Tứ Hiếu</v>
      </c>
      <c r="E99" s="43" t="str">
        <f>VLOOKUP(B99,'Working time'!B:F,4,0)</f>
        <v>Production</v>
      </c>
      <c r="F99" s="43" t="str">
        <f>VLOOKUP(B99,'Working time'!B:F,5,0)</f>
        <v>Production Operator</v>
      </c>
      <c r="G99" s="44" t="str">
        <f>VLOOKUP(B99,'Working time'!B:G,6,0)</f>
        <v>11/03/2026</v>
      </c>
      <c r="H99" s="93" t="s">
        <v>464</v>
      </c>
      <c r="I99" s="70" t="s">
        <v>376</v>
      </c>
      <c r="J99" s="70">
        <v>1</v>
      </c>
      <c r="K99" s="70"/>
    </row>
    <row r="100" spans="1:11">
      <c r="A100" s="70"/>
      <c r="B100" s="42" t="s">
        <v>276</v>
      </c>
      <c r="C100" s="70"/>
      <c r="D100" s="43" t="str">
        <f>VLOOKUP(B100,'Working time'!B:D,3,0)</f>
        <v>Mã Tứ Hiếu</v>
      </c>
      <c r="E100" s="43" t="str">
        <f>VLOOKUP(B100,'Working time'!B:F,4,0)</f>
        <v>Production</v>
      </c>
      <c r="F100" s="43" t="str">
        <f>VLOOKUP(B100,'Working time'!B:F,5,0)</f>
        <v>Production Operator</v>
      </c>
      <c r="G100" s="44" t="str">
        <f>VLOOKUP(B100,'Working time'!B:G,6,0)</f>
        <v>11/03/2026</v>
      </c>
      <c r="H100" s="93" t="s">
        <v>466</v>
      </c>
      <c r="I100" s="70" t="s">
        <v>459</v>
      </c>
      <c r="J100" s="70">
        <v>1</v>
      </c>
      <c r="K100" s="70"/>
    </row>
    <row r="101" spans="1:11">
      <c r="A101" s="70"/>
      <c r="B101" s="42" t="s">
        <v>276</v>
      </c>
      <c r="C101" s="70"/>
      <c r="D101" s="43" t="str">
        <f>VLOOKUP(B101,'Working time'!B:D,3,0)</f>
        <v>Mã Tứ Hiếu</v>
      </c>
      <c r="E101" s="43" t="str">
        <f>VLOOKUP(B101,'Working time'!B:F,4,0)</f>
        <v>Production</v>
      </c>
      <c r="F101" s="43" t="str">
        <f>VLOOKUP(B101,'Working time'!B:F,5,0)</f>
        <v>Production Operator</v>
      </c>
      <c r="G101" s="44" t="str">
        <f>VLOOKUP(B101,'Working time'!B:G,6,0)</f>
        <v>11/03/2026</v>
      </c>
      <c r="H101" s="93" t="s">
        <v>463</v>
      </c>
      <c r="I101" s="70" t="s">
        <v>459</v>
      </c>
      <c r="J101" s="70">
        <v>1</v>
      </c>
      <c r="K101" s="70"/>
    </row>
    <row r="102" spans="1:11">
      <c r="A102" s="70"/>
      <c r="B102" s="42" t="s">
        <v>276</v>
      </c>
      <c r="C102" s="70"/>
      <c r="D102" s="43" t="str">
        <f>VLOOKUP(B102,'Working time'!B:D,3,0)</f>
        <v>Mã Tứ Hiếu</v>
      </c>
      <c r="E102" s="43" t="str">
        <f>VLOOKUP(B102,'Working time'!B:F,4,0)</f>
        <v>Production</v>
      </c>
      <c r="F102" s="43" t="str">
        <f>VLOOKUP(B102,'Working time'!B:F,5,0)</f>
        <v>Production Operator</v>
      </c>
      <c r="G102" s="44" t="str">
        <f>VLOOKUP(B102,'Working time'!B:G,6,0)</f>
        <v>11/03/2026</v>
      </c>
      <c r="H102" s="93">
        <v>46181</v>
      </c>
      <c r="I102" s="70" t="s">
        <v>459</v>
      </c>
      <c r="J102" s="70">
        <v>1</v>
      </c>
      <c r="K102" s="70"/>
    </row>
    <row r="103" spans="1:11">
      <c r="A103" s="70"/>
      <c r="B103" s="42" t="s">
        <v>295</v>
      </c>
      <c r="C103" s="70"/>
      <c r="D103" s="43" t="str">
        <f>VLOOKUP(B103,'Working time'!B:D,3,0)</f>
        <v>Cao Thị Oanh</v>
      </c>
      <c r="E103" s="43" t="str">
        <f>VLOOKUP(B103,'Working time'!B:F,4,0)</f>
        <v>Production</v>
      </c>
      <c r="F103" s="43" t="str">
        <f>VLOOKUP(B103,'Working time'!B:F,5,0)</f>
        <v>Production Operator</v>
      </c>
      <c r="G103" s="44" t="str">
        <f>VLOOKUP(B103,'Working time'!B:G,6,0)</f>
        <v>02/04/2026</v>
      </c>
      <c r="H103" s="93">
        <v>46120</v>
      </c>
      <c r="I103" s="70" t="s">
        <v>376</v>
      </c>
      <c r="J103" s="70">
        <v>1</v>
      </c>
      <c r="K103" s="70"/>
    </row>
    <row r="104" spans="1:11">
      <c r="A104" s="70"/>
      <c r="B104" s="42" t="s">
        <v>295</v>
      </c>
      <c r="C104" s="70"/>
      <c r="D104" s="43" t="str">
        <f>VLOOKUP(B104,'Working time'!B:D,3,0)</f>
        <v>Cao Thị Oanh</v>
      </c>
      <c r="E104" s="43" t="str">
        <f>VLOOKUP(B104,'Working time'!B:F,4,0)</f>
        <v>Production</v>
      </c>
      <c r="F104" s="43" t="str">
        <f>VLOOKUP(B104,'Working time'!B:F,5,0)</f>
        <v>Production Operator</v>
      </c>
      <c r="G104" s="44" t="str">
        <f>VLOOKUP(B104,'Working time'!B:G,6,0)</f>
        <v>02/04/2026</v>
      </c>
      <c r="H104" s="93">
        <v>46150</v>
      </c>
      <c r="I104" s="70" t="s">
        <v>376</v>
      </c>
      <c r="J104" s="70">
        <v>1</v>
      </c>
      <c r="K104" s="70"/>
    </row>
    <row r="105" spans="1:11">
      <c r="A105" s="70"/>
      <c r="B105" s="42" t="s">
        <v>295</v>
      </c>
      <c r="C105" s="70"/>
      <c r="D105" s="43" t="str">
        <f>VLOOKUP(B105,'Working time'!B:D,3,0)</f>
        <v>Cao Thị Oanh</v>
      </c>
      <c r="E105" s="43" t="str">
        <f>VLOOKUP(B105,'Working time'!B:F,4,0)</f>
        <v>Production</v>
      </c>
      <c r="F105" s="43" t="str">
        <f>VLOOKUP(B105,'Working time'!B:F,5,0)</f>
        <v>Production Operator</v>
      </c>
      <c r="G105" s="44" t="str">
        <f>VLOOKUP(B105,'Working time'!B:G,6,0)</f>
        <v>02/04/2026</v>
      </c>
      <c r="H105" s="93">
        <v>46181</v>
      </c>
      <c r="I105" s="70" t="s">
        <v>376</v>
      </c>
      <c r="J105" s="70">
        <v>1</v>
      </c>
      <c r="K105" s="70"/>
    </row>
    <row r="106" spans="1:11">
      <c r="A106" s="70"/>
      <c r="B106" s="42" t="s">
        <v>295</v>
      </c>
      <c r="C106" s="70"/>
      <c r="D106" s="43" t="str">
        <f>VLOOKUP(B106,'Working time'!B:D,3,0)</f>
        <v>Cao Thị Oanh</v>
      </c>
      <c r="E106" s="43" t="str">
        <f>VLOOKUP(B106,'Working time'!B:F,4,0)</f>
        <v>Production</v>
      </c>
      <c r="F106" s="43" t="str">
        <f>VLOOKUP(B106,'Working time'!B:F,5,0)</f>
        <v>Production Operator</v>
      </c>
      <c r="G106" s="44" t="str">
        <f>VLOOKUP(B106,'Working time'!B:G,6,0)</f>
        <v>02/04/2026</v>
      </c>
      <c r="H106" s="93">
        <v>46211</v>
      </c>
      <c r="I106" s="70" t="s">
        <v>459</v>
      </c>
      <c r="J106" s="70">
        <v>1</v>
      </c>
      <c r="K106" s="70"/>
    </row>
    <row r="107" spans="1:11">
      <c r="A107" s="70"/>
      <c r="B107" s="42" t="s">
        <v>295</v>
      </c>
      <c r="C107" s="70"/>
      <c r="D107" s="43" t="str">
        <f>VLOOKUP(B107,'Working time'!B:D,3,0)</f>
        <v>Cao Thị Oanh</v>
      </c>
      <c r="E107" s="43" t="str">
        <f>VLOOKUP(B107,'Working time'!B:F,4,0)</f>
        <v>Production</v>
      </c>
      <c r="F107" s="43" t="str">
        <f>VLOOKUP(B107,'Working time'!B:F,5,0)</f>
        <v>Production Operator</v>
      </c>
      <c r="G107" s="44" t="str">
        <f>VLOOKUP(B107,'Working time'!B:G,6,0)</f>
        <v>02/04/2026</v>
      </c>
      <c r="H107" s="93">
        <v>46242</v>
      </c>
      <c r="I107" s="70" t="s">
        <v>459</v>
      </c>
      <c r="J107" s="70">
        <v>1</v>
      </c>
      <c r="K107" s="70"/>
    </row>
    <row r="108" spans="1:11">
      <c r="A108" s="70"/>
      <c r="B108" s="42" t="s">
        <v>296</v>
      </c>
      <c r="C108" s="70"/>
      <c r="D108" s="43" t="str">
        <f>VLOOKUP(B108,'Working time'!B:D,3,0)</f>
        <v>Trương Mỹ Nhân</v>
      </c>
      <c r="E108" s="43" t="str">
        <f>VLOOKUP(B108,'Working time'!B:F,4,0)</f>
        <v>Production</v>
      </c>
      <c r="F108" s="43" t="str">
        <f>VLOOKUP(B108,'Working time'!B:F,5,0)</f>
        <v>Production Operator</v>
      </c>
      <c r="G108" s="44" t="str">
        <f>VLOOKUP(B108,'Working time'!B:G,6,0)</f>
        <v>02/04/2026</v>
      </c>
      <c r="H108" s="93" t="s">
        <v>471</v>
      </c>
      <c r="I108" s="70" t="s">
        <v>376</v>
      </c>
      <c r="J108" s="70">
        <v>1</v>
      </c>
      <c r="K108" s="70"/>
    </row>
    <row r="109" spans="1:11">
      <c r="A109" s="70"/>
      <c r="B109" s="42" t="s">
        <v>313</v>
      </c>
      <c r="C109" s="70"/>
      <c r="D109" s="43" t="str">
        <f>VLOOKUP(B109,'Working time'!B:D,3,0)</f>
        <v>Y Việt Long Ding</v>
      </c>
      <c r="E109" s="43" t="str">
        <f>VLOOKUP(B109,'Working time'!B:F,4,0)</f>
        <v>WH</v>
      </c>
      <c r="F109" s="43" t="str">
        <f>VLOOKUP(B109,'Working time'!B:F,5,0)</f>
        <v>WH Operator</v>
      </c>
      <c r="G109" s="44" t="str">
        <f>VLOOKUP(B109,'Working time'!B:G,6,0)</f>
        <v>08/04/2026</v>
      </c>
      <c r="H109" s="93" t="s">
        <v>468</v>
      </c>
      <c r="I109" s="70" t="s">
        <v>376</v>
      </c>
      <c r="J109" s="70">
        <v>1</v>
      </c>
      <c r="K109" s="70"/>
    </row>
    <row r="110" spans="1:11">
      <c r="A110" s="70"/>
      <c r="B110" s="42" t="s">
        <v>316</v>
      </c>
      <c r="C110" s="70"/>
      <c r="D110" s="43" t="str">
        <f>VLOOKUP(B110,'Working time'!B:D,3,0)</f>
        <v>Mai Thị Kim Xuyến</v>
      </c>
      <c r="E110" s="43" t="str">
        <f>VLOOKUP(B110,'Working time'!B:F,4,0)</f>
        <v>Logistics</v>
      </c>
      <c r="F110" s="43" t="str">
        <f>VLOOKUP(B110,'Working time'!B:F,5,0)</f>
        <v>Master Planner</v>
      </c>
      <c r="G110" s="44" t="str">
        <f>VLOOKUP(B110,'Working time'!B:G,6,0)</f>
        <v>20/04/2026</v>
      </c>
      <c r="H110" s="93">
        <v>46089</v>
      </c>
      <c r="I110" s="70" t="s">
        <v>376</v>
      </c>
      <c r="J110" s="70">
        <v>1</v>
      </c>
      <c r="K110" s="70"/>
    </row>
    <row r="111" spans="1:11" ht="36.6" customHeight="1">
      <c r="A111" s="70"/>
      <c r="B111" s="42" t="s">
        <v>316</v>
      </c>
      <c r="C111" s="70"/>
      <c r="D111" s="43" t="str">
        <f>VLOOKUP(B111,'Working time'!B:D,3,0)</f>
        <v>Mai Thị Kim Xuyến</v>
      </c>
      <c r="E111" s="43" t="str">
        <f>VLOOKUP(B111,'Working time'!B:F,4,0)</f>
        <v>Logistics</v>
      </c>
      <c r="F111" s="43" t="str">
        <f>VLOOKUP(B111,'Working time'!B:F,5,0)</f>
        <v>Master Planner</v>
      </c>
      <c r="G111" s="44" t="str">
        <f>VLOOKUP(B111,'Working time'!B:G,6,0)</f>
        <v>20/04/2026</v>
      </c>
      <c r="H111" s="93" t="s">
        <v>497</v>
      </c>
      <c r="I111" s="70" t="s">
        <v>376</v>
      </c>
      <c r="J111" s="70">
        <v>1</v>
      </c>
      <c r="K111" s="70"/>
    </row>
    <row r="112" spans="1:11" ht="36.6" customHeight="1">
      <c r="A112" s="70"/>
      <c r="B112" s="42" t="s">
        <v>316</v>
      </c>
      <c r="C112" s="70"/>
      <c r="D112" s="43" t="str">
        <f>VLOOKUP(B112,'Working time'!B:D,3,0)</f>
        <v>Mai Thị Kim Xuyến</v>
      </c>
      <c r="E112" s="43" t="str">
        <f>VLOOKUP(B112,'Working time'!B:F,4,0)</f>
        <v>Logistics</v>
      </c>
      <c r="F112" s="43" t="str">
        <f>VLOOKUP(B112,'Working time'!B:F,5,0)</f>
        <v>Master Planner</v>
      </c>
      <c r="G112" s="44" t="str">
        <f>VLOOKUP(B112,'Working time'!B:G,6,0)</f>
        <v>20/04/2026</v>
      </c>
      <c r="H112" s="93">
        <v>46334</v>
      </c>
      <c r="I112" s="70" t="s">
        <v>376</v>
      </c>
      <c r="J112" s="70">
        <v>1</v>
      </c>
      <c r="K112" s="70"/>
    </row>
    <row r="113" spans="1:11" ht="36.6" customHeight="1">
      <c r="A113" s="70"/>
      <c r="B113" s="42" t="s">
        <v>445</v>
      </c>
      <c r="C113" s="43"/>
      <c r="D113" s="43" t="str">
        <f>VLOOKUP(B113,'Working time'!B:D,3,0)</f>
        <v>Y' Lưới Hđơk</v>
      </c>
      <c r="E113" s="43" t="str">
        <f>VLOOKUP(B113,'Working time'!B:F,4,0)</f>
        <v>Production</v>
      </c>
      <c r="F113" s="43" t="str">
        <f>VLOOKUP(B113,'Working time'!B:F,5,0)</f>
        <v>Riveting Line Operator</v>
      </c>
      <c r="G113" s="44" t="str">
        <f>VLOOKUP(B113,'Working time'!B:G,6,0)</f>
        <v>23/07/2026</v>
      </c>
      <c r="H113" s="93" t="s">
        <v>461</v>
      </c>
      <c r="I113" s="70" t="s">
        <v>459</v>
      </c>
      <c r="J113" s="70">
        <v>1</v>
      </c>
      <c r="K113" s="70"/>
    </row>
    <row r="114" spans="1:11" ht="36.6" customHeight="1">
      <c r="A114" s="70"/>
      <c r="B114" s="42" t="s">
        <v>445</v>
      </c>
      <c r="C114" s="43"/>
      <c r="D114" s="43" t="str">
        <f>VLOOKUP(B114,'Working time'!B:D,3,0)</f>
        <v>Y' Lưới Hđơk</v>
      </c>
      <c r="E114" s="43" t="str">
        <f>VLOOKUP(B114,'Working time'!B:F,4,0)</f>
        <v>Production</v>
      </c>
      <c r="F114" s="43" t="str">
        <f>VLOOKUP(B114,'Working time'!B:F,5,0)</f>
        <v>Riveting Line Operator</v>
      </c>
      <c r="G114" s="44" t="str">
        <f>VLOOKUP(B114,'Working time'!B:G,6,0)</f>
        <v>23/07/2026</v>
      </c>
      <c r="H114" s="93" t="s">
        <v>462</v>
      </c>
      <c r="I114" s="70" t="s">
        <v>459</v>
      </c>
      <c r="J114" s="70">
        <v>1</v>
      </c>
      <c r="K114" s="70"/>
    </row>
    <row r="115" spans="1:11" ht="36.6" customHeight="1">
      <c r="A115" s="70"/>
      <c r="B115" s="42" t="s">
        <v>445</v>
      </c>
      <c r="C115" s="70"/>
      <c r="D115" s="43" t="str">
        <f>VLOOKUP(B115,'Working time'!B:D,3,0)</f>
        <v>Y' Lưới Hđơk</v>
      </c>
      <c r="E115" s="43" t="str">
        <f>VLOOKUP(B115,'Working time'!B:F,4,0)</f>
        <v>Production</v>
      </c>
      <c r="F115" s="43" t="str">
        <f>VLOOKUP(B115,'Working time'!B:F,5,0)</f>
        <v>Riveting Line Operator</v>
      </c>
      <c r="G115" s="44" t="str">
        <f>VLOOKUP(B115,'Working time'!B:G,6,0)</f>
        <v>23/07/2026</v>
      </c>
      <c r="H115" s="93" t="s">
        <v>468</v>
      </c>
      <c r="I115" s="70" t="s">
        <v>459</v>
      </c>
      <c r="J115" s="70">
        <v>1</v>
      </c>
      <c r="K115" s="70"/>
    </row>
    <row r="116" spans="1:11" ht="36.6" customHeight="1">
      <c r="A116" s="70"/>
      <c r="B116" s="42" t="s">
        <v>445</v>
      </c>
      <c r="C116" s="70"/>
      <c r="D116" s="43" t="str">
        <f>VLOOKUP(B116,'Working time'!B:D,3,0)</f>
        <v>Y' Lưới Hđơk</v>
      </c>
      <c r="E116" s="43" t="str">
        <f>VLOOKUP(B116,'Working time'!B:F,4,0)</f>
        <v>Production</v>
      </c>
      <c r="F116" s="43" t="str">
        <f>VLOOKUP(B116,'Working time'!B:F,5,0)</f>
        <v>Riveting Line Operator</v>
      </c>
      <c r="G116" s="44" t="str">
        <f>VLOOKUP(B116,'Working time'!B:G,6,0)</f>
        <v>23/07/2026</v>
      </c>
      <c r="H116" s="93">
        <v>46181</v>
      </c>
      <c r="I116" s="70" t="s">
        <v>459</v>
      </c>
      <c r="J116" s="70">
        <v>1</v>
      </c>
      <c r="K116" s="70"/>
    </row>
    <row r="117" spans="1:11" ht="36.6" customHeight="1">
      <c r="A117" s="70"/>
      <c r="B117" s="42" t="s">
        <v>445</v>
      </c>
      <c r="C117" s="70"/>
      <c r="D117" s="43" t="str">
        <f>VLOOKUP(B117,'Working time'!B:D,3,0)</f>
        <v>Y' Lưới Hđơk</v>
      </c>
      <c r="E117" s="43" t="str">
        <f>VLOOKUP(B117,'Working time'!B:F,4,0)</f>
        <v>Production</v>
      </c>
      <c r="F117" s="43" t="str">
        <f>VLOOKUP(B117,'Working time'!B:F,5,0)</f>
        <v>Riveting Line Operator</v>
      </c>
      <c r="G117" s="44" t="str">
        <f>VLOOKUP(B117,'Working time'!B:G,6,0)</f>
        <v>23/07/2026</v>
      </c>
      <c r="H117" s="93">
        <v>46211</v>
      </c>
      <c r="I117" s="70" t="s">
        <v>459</v>
      </c>
      <c r="J117" s="70">
        <v>1</v>
      </c>
      <c r="K117" s="70"/>
    </row>
    <row r="118" spans="1:11" ht="36.6" customHeight="1">
      <c r="A118" s="70"/>
      <c r="B118" s="42" t="s">
        <v>355</v>
      </c>
      <c r="C118" s="70"/>
      <c r="D118" s="43" t="str">
        <f>VLOOKUP(B118,'Working time'!B:D,3,0)</f>
        <v>Y Duân Nie</v>
      </c>
      <c r="E118" s="43" t="str">
        <f>VLOOKUP(B118,'Working time'!B:F,4,0)</f>
        <v>Production</v>
      </c>
      <c r="F118" s="43" t="str">
        <f>VLOOKUP(B118,'Working time'!B:F,5,0)</f>
        <v>Production Operator</v>
      </c>
      <c r="G118" s="44" t="str">
        <f>VLOOKUP(B118,'Working time'!B:G,6,0)</f>
        <v>21/05/2026</v>
      </c>
      <c r="H118" s="93" t="s">
        <v>470</v>
      </c>
      <c r="I118" s="70" t="s">
        <v>459</v>
      </c>
      <c r="J118" s="70">
        <v>1</v>
      </c>
      <c r="K118" s="70"/>
    </row>
    <row r="119" spans="1:11" ht="36.6" customHeight="1">
      <c r="A119" s="70"/>
      <c r="B119" s="42" t="s">
        <v>356</v>
      </c>
      <c r="C119" s="43"/>
      <c r="D119" s="43" t="str">
        <f>VLOOKUP(B119,'Working time'!B:D,3,0)</f>
        <v>Lê Ngọc Quyết</v>
      </c>
      <c r="E119" s="43" t="str">
        <f>VLOOKUP(B119,'Working time'!B:F,4,0)</f>
        <v>QC</v>
      </c>
      <c r="F119" s="43" t="str">
        <f>VLOOKUP(B119,'Working time'!B:F,5,0)</f>
        <v>QC Inspector</v>
      </c>
      <c r="G119" s="44" t="str">
        <f>VLOOKUP(B119,'Working time'!B:G,6,0)</f>
        <v>22/05/2026</v>
      </c>
      <c r="H119" s="93">
        <v>46334</v>
      </c>
      <c r="I119" s="70" t="s">
        <v>376</v>
      </c>
      <c r="J119" s="70">
        <v>0.5</v>
      </c>
      <c r="K119" s="70"/>
    </row>
    <row r="120" spans="1:11" ht="36.6" customHeight="1">
      <c r="A120" s="70"/>
      <c r="B120" s="42" t="s">
        <v>356</v>
      </c>
      <c r="C120" s="70"/>
      <c r="D120" s="43" t="str">
        <f>VLOOKUP(B120,'Working time'!B:D,3,0)</f>
        <v>Lê Ngọc Quyết</v>
      </c>
      <c r="E120" s="43" t="str">
        <f>VLOOKUP(B120,'Working time'!B:F,4,0)</f>
        <v>QC</v>
      </c>
      <c r="F120" s="43" t="str">
        <f>VLOOKUP(B120,'Working time'!B:F,5,0)</f>
        <v>QC Inspector</v>
      </c>
      <c r="G120" s="44" t="str">
        <f>VLOOKUP(B120,'Working time'!B:G,6,0)</f>
        <v>22/05/2026</v>
      </c>
      <c r="H120" s="93">
        <v>46364</v>
      </c>
      <c r="I120" s="70" t="s">
        <v>507</v>
      </c>
      <c r="J120" s="70">
        <v>1</v>
      </c>
      <c r="K120" s="70" t="s">
        <v>504</v>
      </c>
    </row>
    <row r="121" spans="1:11" ht="36.6" customHeight="1">
      <c r="A121" s="70"/>
      <c r="B121" s="42" t="s">
        <v>358</v>
      </c>
      <c r="C121" s="70"/>
      <c r="D121" s="43" t="str">
        <f>VLOOKUP(B121,'Working time'!B:D,3,0)</f>
        <v>Đào Thanh Phước</v>
      </c>
      <c r="E121" s="43" t="str">
        <f>VLOOKUP(B121,'Working time'!B:F,4,0)</f>
        <v>Production</v>
      </c>
      <c r="F121" s="43" t="str">
        <f>VLOOKUP(B121,'Working time'!B:F,5,0)</f>
        <v>Production Operator</v>
      </c>
      <c r="G121" s="44" t="str">
        <f>VLOOKUP(B121,'Working time'!B:G,6,0)</f>
        <v>23/05/2026</v>
      </c>
      <c r="H121" s="93" t="s">
        <v>463</v>
      </c>
      <c r="I121" s="70" t="s">
        <v>507</v>
      </c>
      <c r="J121" s="70">
        <v>1</v>
      </c>
      <c r="K121" s="70" t="s">
        <v>460</v>
      </c>
    </row>
    <row r="122" spans="1:11">
      <c r="B122" s="42" t="s">
        <v>358</v>
      </c>
      <c r="D122" s="43" t="str">
        <f>VLOOKUP(B122,'Working time'!B:D,3,0)</f>
        <v>Đào Thanh Phước</v>
      </c>
      <c r="E122" s="43" t="str">
        <f>VLOOKUP(B122,'Working time'!B:F,4,0)</f>
        <v>Production</v>
      </c>
      <c r="F122" s="43" t="str">
        <f>VLOOKUP(B122,'Working time'!B:F,5,0)</f>
        <v>Production Operator</v>
      </c>
      <c r="G122" s="44" t="str">
        <f>VLOOKUP(B122,'Working time'!B:G,6,0)</f>
        <v>23/05/2026</v>
      </c>
      <c r="H122" s="93">
        <v>46030</v>
      </c>
      <c r="I122" s="70" t="s">
        <v>507</v>
      </c>
      <c r="J122" s="70">
        <v>1</v>
      </c>
      <c r="K122" t="s">
        <v>460</v>
      </c>
    </row>
    <row r="123" spans="1:11">
      <c r="B123" s="42" t="s">
        <v>358</v>
      </c>
      <c r="D123" s="43" t="str">
        <f>VLOOKUP(B123,'Working time'!B:D,3,0)</f>
        <v>Đào Thanh Phước</v>
      </c>
      <c r="E123" s="43" t="str">
        <f>VLOOKUP(B123,'Working time'!B:F,4,0)</f>
        <v>Production</v>
      </c>
      <c r="F123" s="43" t="str">
        <f>VLOOKUP(B123,'Working time'!B:F,5,0)</f>
        <v>Production Operator</v>
      </c>
      <c r="G123" s="44" t="str">
        <f>VLOOKUP(B123,'Working time'!B:G,6,0)</f>
        <v>23/05/2026</v>
      </c>
      <c r="H123" s="93" t="s">
        <v>464</v>
      </c>
      <c r="I123" s="70" t="s">
        <v>507</v>
      </c>
      <c r="J123" s="70">
        <v>1</v>
      </c>
      <c r="K123" t="s">
        <v>460</v>
      </c>
    </row>
    <row r="124" spans="1:11">
      <c r="B124" s="42" t="s">
        <v>359</v>
      </c>
      <c r="D124" s="43" t="str">
        <f>VLOOKUP(B124,'Working time'!B:D,3,0)</f>
        <v>Lưu Văn Huy</v>
      </c>
      <c r="E124" s="43" t="str">
        <f>VLOOKUP(B124,'Working time'!B:F,4,0)</f>
        <v>Production</v>
      </c>
      <c r="F124" s="43" t="str">
        <f>VLOOKUP(B124,'Working time'!B:F,5,0)</f>
        <v>Production Operator</v>
      </c>
      <c r="G124" s="44" t="str">
        <f>VLOOKUP(B124,'Working time'!B:G,6,0)</f>
        <v>26/05/2026</v>
      </c>
      <c r="H124" s="93" t="s">
        <v>464</v>
      </c>
      <c r="I124" s="70" t="s">
        <v>376</v>
      </c>
      <c r="J124" s="70">
        <v>1</v>
      </c>
    </row>
    <row r="125" spans="1:11">
      <c r="B125" s="42" t="s">
        <v>359</v>
      </c>
      <c r="D125" s="43" t="str">
        <f>VLOOKUP(B125,'Working time'!B:D,3,0)</f>
        <v>Lưu Văn Huy</v>
      </c>
      <c r="E125" s="43" t="str">
        <f>VLOOKUP(B125,'Working time'!B:F,4,0)</f>
        <v>Production</v>
      </c>
      <c r="F125" s="43" t="str">
        <f>VLOOKUP(B125,'Working time'!B:F,5,0)</f>
        <v>Production Operator</v>
      </c>
      <c r="G125" s="44" t="str">
        <f>VLOOKUP(B125,'Working time'!B:G,6,0)</f>
        <v>26/05/2026</v>
      </c>
      <c r="H125" s="93" t="s">
        <v>465</v>
      </c>
      <c r="I125" s="70" t="s">
        <v>376</v>
      </c>
      <c r="J125" s="70">
        <v>1</v>
      </c>
      <c r="K125" s="70"/>
    </row>
    <row r="126" spans="1:11">
      <c r="B126" s="42" t="s">
        <v>359</v>
      </c>
      <c r="D126" s="43" t="str">
        <f>VLOOKUP(B126,'Working time'!B:D,3,0)</f>
        <v>Lưu Văn Huy</v>
      </c>
      <c r="E126" s="43" t="str">
        <f>VLOOKUP(B126,'Working time'!B:F,4,0)</f>
        <v>Production</v>
      </c>
      <c r="F126" s="43" t="str">
        <f>VLOOKUP(B126,'Working time'!B:F,5,0)</f>
        <v>Production Operator</v>
      </c>
      <c r="G126" s="44" t="str">
        <f>VLOOKUP(B126,'Working time'!B:G,6,0)</f>
        <v>26/05/2026</v>
      </c>
      <c r="H126" s="93">
        <v>46303</v>
      </c>
      <c r="I126" s="70" t="s">
        <v>459</v>
      </c>
      <c r="J126" s="70">
        <v>1</v>
      </c>
    </row>
    <row r="127" spans="1:11" ht="25.5">
      <c r="B127" s="42" t="s">
        <v>366</v>
      </c>
      <c r="C127" s="97"/>
      <c r="D127" s="43" t="str">
        <f>VLOOKUP(B127,'Working time'!B:D,3,0)</f>
        <v>Trần Thị Ngọc Hương</v>
      </c>
      <c r="E127" s="43" t="str">
        <f>VLOOKUP(B127,'Working time'!B:F,4,0)</f>
        <v>Production</v>
      </c>
      <c r="F127" s="43" t="str">
        <f>VLOOKUP(B127,'Working time'!B:F,5,0)</f>
        <v>Production Operator</v>
      </c>
      <c r="G127" s="44" t="str">
        <f>VLOOKUP(B127,'Working time'!B:G,6,0)</f>
        <v>28/05/2026</v>
      </c>
      <c r="H127" s="93">
        <v>46211</v>
      </c>
      <c r="I127" s="70" t="s">
        <v>376</v>
      </c>
      <c r="J127" s="70">
        <v>1</v>
      </c>
    </row>
    <row r="128" spans="1:11">
      <c r="B128" s="42" t="s">
        <v>369</v>
      </c>
      <c r="C128" s="97"/>
      <c r="D128" s="43" t="str">
        <f>VLOOKUP(B128,'Working time'!B:D,3,0)</f>
        <v>Lê Tiểu My</v>
      </c>
      <c r="E128" s="43" t="str">
        <f>VLOOKUP(B128,'Working time'!B:F,4,0)</f>
        <v>Production</v>
      </c>
      <c r="F128" s="43" t="str">
        <f>VLOOKUP(B128,'Working time'!B:F,5,0)</f>
        <v>Production Operator</v>
      </c>
      <c r="G128" s="44" t="str">
        <f>VLOOKUP(B128,'Working time'!B:G,6,0)</f>
        <v>28/05/2026</v>
      </c>
      <c r="H128" s="93">
        <v>46181</v>
      </c>
      <c r="I128" s="70" t="s">
        <v>459</v>
      </c>
      <c r="J128" s="70">
        <v>1</v>
      </c>
    </row>
    <row r="129" spans="2:11">
      <c r="B129" s="42" t="s">
        <v>369</v>
      </c>
      <c r="C129" s="97"/>
      <c r="D129" s="43" t="str">
        <f>VLOOKUP(B129,'Working time'!B:D,3,0)</f>
        <v>Lê Tiểu My</v>
      </c>
      <c r="E129" s="43" t="str">
        <f>VLOOKUP(B129,'Working time'!B:F,4,0)</f>
        <v>Production</v>
      </c>
      <c r="F129" s="43" t="str">
        <f>VLOOKUP(B129,'Working time'!B:F,5,0)</f>
        <v>Production Operator</v>
      </c>
      <c r="G129" s="44" t="str">
        <f>VLOOKUP(B129,'Working time'!B:G,6,0)</f>
        <v>28/05/2026</v>
      </c>
      <c r="H129" s="93">
        <v>46150</v>
      </c>
      <c r="I129" s="70" t="s">
        <v>507</v>
      </c>
      <c r="J129" s="70">
        <v>1</v>
      </c>
      <c r="K129" s="70" t="s">
        <v>460</v>
      </c>
    </row>
    <row r="130" spans="2:11">
      <c r="B130" s="42" t="s">
        <v>369</v>
      </c>
      <c r="D130" s="43" t="str">
        <f>VLOOKUP(B130,'Working time'!B:D,3,0)</f>
        <v>Lê Tiểu My</v>
      </c>
      <c r="E130" s="43" t="str">
        <f>VLOOKUP(B130,'Working time'!B:F,4,0)</f>
        <v>Production</v>
      </c>
      <c r="F130" s="43" t="str">
        <f>VLOOKUP(B130,'Working time'!B:F,5,0)</f>
        <v>Production Operator</v>
      </c>
      <c r="G130" s="44" t="str">
        <f>VLOOKUP(B130,'Working time'!B:G,6,0)</f>
        <v>28/05/2026</v>
      </c>
      <c r="H130" s="93" t="s">
        <v>470</v>
      </c>
      <c r="I130" s="70" t="s">
        <v>376</v>
      </c>
      <c r="J130" s="70">
        <v>1</v>
      </c>
      <c r="K130" s="70"/>
    </row>
    <row r="131" spans="2:11">
      <c r="B131" s="42" t="s">
        <v>369</v>
      </c>
      <c r="D131" s="43" t="str">
        <f>VLOOKUP(B131,'Working time'!B:D,3,0)</f>
        <v>Lê Tiểu My</v>
      </c>
      <c r="E131" s="43" t="str">
        <f>VLOOKUP(B131,'Working time'!B:F,4,0)</f>
        <v>Production</v>
      </c>
      <c r="F131" s="43" t="str">
        <f>VLOOKUP(B131,'Working time'!B:F,5,0)</f>
        <v>Production Operator</v>
      </c>
      <c r="G131" s="44" t="str">
        <f>VLOOKUP(B131,'Working time'!B:G,6,0)</f>
        <v>28/05/2026</v>
      </c>
      <c r="H131" s="93">
        <v>46242</v>
      </c>
      <c r="I131" s="70" t="s">
        <v>459</v>
      </c>
      <c r="J131" s="70">
        <v>1</v>
      </c>
    </row>
    <row r="132" spans="2:11">
      <c r="B132" s="42" t="s">
        <v>383</v>
      </c>
      <c r="D132" s="43" t="str">
        <f>VLOOKUP(B132,'Working time'!B:D,3,0)</f>
        <v>Nguyễn Thanh Tâm</v>
      </c>
      <c r="E132" s="43" t="str">
        <f>VLOOKUP(B132,'Working time'!B:F,4,0)</f>
        <v>QC</v>
      </c>
      <c r="F132" s="43" t="str">
        <f>VLOOKUP(B132,'Working time'!B:F,5,0)</f>
        <v>QC Inspector</v>
      </c>
      <c r="G132" s="44" t="str">
        <f>VLOOKUP(B132,'Working time'!B:G,6,0)</f>
        <v>01/06/2026</v>
      </c>
      <c r="H132" s="93">
        <v>46211</v>
      </c>
      <c r="I132" s="70" t="s">
        <v>507</v>
      </c>
      <c r="J132" s="70">
        <v>1</v>
      </c>
      <c r="K132" t="s">
        <v>460</v>
      </c>
    </row>
    <row r="133" spans="2:11">
      <c r="B133" s="42" t="s">
        <v>383</v>
      </c>
      <c r="D133" s="43" t="str">
        <f>VLOOKUP(B133,'Working time'!B:D,3,0)</f>
        <v>Nguyễn Thanh Tâm</v>
      </c>
      <c r="E133" s="43" t="str">
        <f>VLOOKUP(B133,'Working time'!B:F,4,0)</f>
        <v>QC</v>
      </c>
      <c r="F133" s="43" t="str">
        <f>VLOOKUP(B133,'Working time'!B:F,5,0)</f>
        <v>QC Inspector</v>
      </c>
      <c r="G133" s="44" t="str">
        <f>VLOOKUP(B133,'Working time'!B:G,6,0)</f>
        <v>01/06/2026</v>
      </c>
      <c r="H133" s="93">
        <v>46242</v>
      </c>
      <c r="I133" s="70" t="s">
        <v>507</v>
      </c>
      <c r="J133" s="70">
        <v>1</v>
      </c>
      <c r="K133" t="s">
        <v>460</v>
      </c>
    </row>
    <row r="134" spans="2:11">
      <c r="B134" s="42" t="s">
        <v>383</v>
      </c>
      <c r="D134" s="43" t="str">
        <f>VLOOKUP(B134,'Working time'!B:D,3,0)</f>
        <v>Nguyễn Thanh Tâm</v>
      </c>
      <c r="E134" s="43" t="str">
        <f>VLOOKUP(B134,'Working time'!B:F,4,0)</f>
        <v>QC</v>
      </c>
      <c r="F134" s="43" t="str">
        <f>VLOOKUP(B134,'Working time'!B:F,5,0)</f>
        <v>QC Inspector</v>
      </c>
      <c r="G134" s="44" t="str">
        <f>VLOOKUP(B134,'Working time'!B:G,6,0)</f>
        <v>01/06/2026</v>
      </c>
      <c r="H134" s="93">
        <v>46303</v>
      </c>
      <c r="I134" s="70" t="s">
        <v>507</v>
      </c>
      <c r="J134" s="70">
        <v>1</v>
      </c>
      <c r="K134" t="s">
        <v>460</v>
      </c>
    </row>
    <row r="135" spans="2:11">
      <c r="B135" s="42" t="s">
        <v>383</v>
      </c>
      <c r="D135" s="43" t="str">
        <f>VLOOKUP(B135,'Working time'!B:D,3,0)</f>
        <v>Nguyễn Thanh Tâm</v>
      </c>
      <c r="E135" s="43" t="str">
        <f>VLOOKUP(B135,'Working time'!B:F,4,0)</f>
        <v>QC</v>
      </c>
      <c r="F135" s="43" t="str">
        <f>VLOOKUP(B135,'Working time'!B:F,5,0)</f>
        <v>QC Inspector</v>
      </c>
      <c r="G135" s="44" t="str">
        <f>VLOOKUP(B135,'Working time'!B:G,6,0)</f>
        <v>01/06/2026</v>
      </c>
      <c r="H135" s="93" t="s">
        <v>472</v>
      </c>
      <c r="I135" s="70" t="s">
        <v>376</v>
      </c>
      <c r="J135" s="70">
        <v>0.5</v>
      </c>
    </row>
    <row r="136" spans="2:11">
      <c r="B136" s="42" t="s">
        <v>383</v>
      </c>
      <c r="D136" s="43" t="str">
        <f>VLOOKUP(B136,'Working time'!B:D,3,0)</f>
        <v>Nguyễn Thanh Tâm</v>
      </c>
      <c r="E136" s="43" t="str">
        <f>VLOOKUP(B136,'Working time'!B:F,4,0)</f>
        <v>QC</v>
      </c>
      <c r="F136" s="43" t="str">
        <f>VLOOKUP(B136,'Working time'!B:F,5,0)</f>
        <v>QC Inspector</v>
      </c>
      <c r="G136" s="44" t="str">
        <f>VLOOKUP(B136,'Working time'!B:G,6,0)</f>
        <v>01/06/2026</v>
      </c>
      <c r="H136" s="93">
        <v>46181</v>
      </c>
      <c r="I136" s="70" t="s">
        <v>459</v>
      </c>
      <c r="J136" s="70">
        <v>1</v>
      </c>
    </row>
    <row r="137" spans="2:11">
      <c r="B137" s="42" t="s">
        <v>383</v>
      </c>
      <c r="D137" s="43" t="str">
        <f>VLOOKUP(B137,'Working time'!B:D,3,0)</f>
        <v>Nguyễn Thanh Tâm</v>
      </c>
      <c r="E137" s="43" t="str">
        <f>VLOOKUP(B137,'Working time'!B:F,4,0)</f>
        <v>QC</v>
      </c>
      <c r="F137" s="43" t="str">
        <f>VLOOKUP(B137,'Working time'!B:F,5,0)</f>
        <v>QC Inspector</v>
      </c>
      <c r="G137" s="44" t="str">
        <f>VLOOKUP(B137,'Working time'!B:G,6,0)</f>
        <v>01/06/2026</v>
      </c>
      <c r="H137" s="70" t="s">
        <v>466</v>
      </c>
      <c r="I137" s="70" t="s">
        <v>507</v>
      </c>
      <c r="J137" s="70">
        <v>1</v>
      </c>
    </row>
    <row r="138" spans="2:11">
      <c r="B138" s="42" t="s">
        <v>383</v>
      </c>
      <c r="D138" s="43" t="str">
        <f>VLOOKUP(B138,'Working time'!B:D,3,0)</f>
        <v>Nguyễn Thanh Tâm</v>
      </c>
      <c r="E138" s="43" t="str">
        <f>VLOOKUP(B138,'Working time'!B:F,4,0)</f>
        <v>QC</v>
      </c>
      <c r="F138" s="43" t="str">
        <f>VLOOKUP(B138,'Working time'!B:F,5,0)</f>
        <v>QC Inspector</v>
      </c>
      <c r="G138" s="44" t="str">
        <f>VLOOKUP(B138,'Working time'!B:G,6,0)</f>
        <v>01/06/2026</v>
      </c>
      <c r="H138" s="70" t="s">
        <v>463</v>
      </c>
      <c r="I138" s="70" t="s">
        <v>507</v>
      </c>
      <c r="J138" s="70">
        <v>1</v>
      </c>
    </row>
    <row r="139" spans="2:11">
      <c r="B139" s="42" t="s">
        <v>383</v>
      </c>
      <c r="D139" s="43" t="str">
        <f>VLOOKUP(B139,'Working time'!B:D,3,0)</f>
        <v>Nguyễn Thanh Tâm</v>
      </c>
      <c r="E139" s="43" t="str">
        <f>VLOOKUP(B139,'Working time'!B:F,4,0)</f>
        <v>QC</v>
      </c>
      <c r="F139" s="43" t="str">
        <f>VLOOKUP(B139,'Working time'!B:F,5,0)</f>
        <v>QC Inspector</v>
      </c>
      <c r="G139" s="44" t="str">
        <f>VLOOKUP(B139,'Working time'!B:G,6,0)</f>
        <v>01/06/2026</v>
      </c>
      <c r="H139" s="93">
        <v>46030</v>
      </c>
      <c r="I139" s="98" t="s">
        <v>507</v>
      </c>
      <c r="J139" s="98">
        <v>1</v>
      </c>
    </row>
    <row r="140" spans="2:11">
      <c r="B140" s="42" t="s">
        <v>383</v>
      </c>
      <c r="D140" s="43" t="str">
        <f>VLOOKUP(B140,'Working time'!B:D,3,0)</f>
        <v>Nguyễn Thanh Tâm</v>
      </c>
      <c r="E140" s="43" t="str">
        <f>VLOOKUP(B140,'Working time'!B:F,4,0)</f>
        <v>QC</v>
      </c>
      <c r="F140" s="43" t="str">
        <f>VLOOKUP(B140,'Working time'!B:F,5,0)</f>
        <v>QC Inspector</v>
      </c>
      <c r="G140" s="44" t="str">
        <f>VLOOKUP(B140,'Working time'!B:G,6,0)</f>
        <v>01/06/2026</v>
      </c>
      <c r="H140" s="93">
        <v>46089</v>
      </c>
      <c r="I140" s="98" t="s">
        <v>507</v>
      </c>
      <c r="J140" s="98">
        <v>1</v>
      </c>
    </row>
    <row r="141" spans="2:11">
      <c r="B141" s="42" t="s">
        <v>383</v>
      </c>
      <c r="D141" s="43" t="str">
        <f>VLOOKUP(B141,'Working time'!B:D,3,0)</f>
        <v>Nguyễn Thanh Tâm</v>
      </c>
      <c r="E141" s="43" t="str">
        <f>VLOOKUP(B141,'Working time'!B:F,4,0)</f>
        <v>QC</v>
      </c>
      <c r="F141" s="43" t="str">
        <f>VLOOKUP(B141,'Working time'!B:F,5,0)</f>
        <v>QC Inspector</v>
      </c>
      <c r="G141" s="44" t="str">
        <f>VLOOKUP(B141,'Working time'!B:G,6,0)</f>
        <v>01/06/2026</v>
      </c>
      <c r="H141" s="93">
        <v>46120</v>
      </c>
      <c r="I141" s="98" t="s">
        <v>507</v>
      </c>
      <c r="J141" s="98">
        <v>1</v>
      </c>
    </row>
    <row r="142" spans="2:11">
      <c r="B142" s="42" t="s">
        <v>383</v>
      </c>
      <c r="D142" s="43" t="str">
        <f>VLOOKUP(B142,'Working time'!B:D,3,0)</f>
        <v>Nguyễn Thanh Tâm</v>
      </c>
      <c r="E142" s="43" t="str">
        <f>VLOOKUP(B142,'Working time'!B:F,4,0)</f>
        <v>QC</v>
      </c>
      <c r="F142" s="43" t="str">
        <f>VLOOKUP(B142,'Working time'!B:F,5,0)</f>
        <v>QC Inspector</v>
      </c>
      <c r="G142" s="44" t="str">
        <f>VLOOKUP(B142,'Working time'!B:G,6,0)</f>
        <v>01/06/2026</v>
      </c>
      <c r="H142" s="99">
        <v>46150</v>
      </c>
      <c r="I142" s="98" t="s">
        <v>507</v>
      </c>
      <c r="J142" s="98">
        <v>1</v>
      </c>
    </row>
    <row r="143" spans="2:11">
      <c r="B143" s="42" t="s">
        <v>383</v>
      </c>
      <c r="D143" s="43" t="str">
        <f>VLOOKUP(B143,'Working time'!B:D,3,0)</f>
        <v>Nguyễn Thanh Tâm</v>
      </c>
      <c r="E143" s="43" t="str">
        <f>VLOOKUP(B143,'Working time'!B:F,4,0)</f>
        <v>QC</v>
      </c>
      <c r="F143" s="43" t="str">
        <f>VLOOKUP(B143,'Working time'!B:F,5,0)</f>
        <v>QC Inspector</v>
      </c>
      <c r="G143" s="44" t="str">
        <f>VLOOKUP(B143,'Working time'!B:G,6,0)</f>
        <v>01/06/2026</v>
      </c>
      <c r="H143" s="99">
        <v>46364</v>
      </c>
      <c r="I143" s="98" t="s">
        <v>459</v>
      </c>
      <c r="J143" s="98">
        <v>1</v>
      </c>
    </row>
    <row r="144" spans="2:11">
      <c r="B144" s="42" t="s">
        <v>383</v>
      </c>
      <c r="D144" s="43" t="str">
        <f>VLOOKUP(B144,'Working time'!B:D,3,0)</f>
        <v>Nguyễn Thanh Tâm</v>
      </c>
      <c r="E144" s="43" t="str">
        <f>VLOOKUP(B144,'Working time'!B:F,4,0)</f>
        <v>QC</v>
      </c>
      <c r="F144" s="43" t="str">
        <f>VLOOKUP(B144,'Working time'!B:F,5,0)</f>
        <v>QC Inspector</v>
      </c>
      <c r="G144" s="44" t="str">
        <f>VLOOKUP(B144,'Working time'!B:G,6,0)</f>
        <v>01/06/2026</v>
      </c>
      <c r="H144" t="s">
        <v>472</v>
      </c>
      <c r="I144" s="98" t="s">
        <v>376</v>
      </c>
      <c r="J144" s="98">
        <v>0.5</v>
      </c>
    </row>
    <row r="145" spans="2:10">
      <c r="B145" s="42" t="s">
        <v>400</v>
      </c>
      <c r="D145" s="43" t="str">
        <f>VLOOKUP(B145,'Working time'!B:D,3,0)</f>
        <v>Phan Thị Ngọc Ánh</v>
      </c>
      <c r="E145" s="43" t="str">
        <f>VLOOKUP(B145,'Working time'!B:F,4,0)</f>
        <v>Production</v>
      </c>
      <c r="F145" s="43" t="str">
        <f>VLOOKUP(B145,'Working time'!B:F,5,0)</f>
        <v>Production Operator</v>
      </c>
      <c r="G145" s="44" t="str">
        <f>VLOOKUP(B145,'Working time'!B:G,6,0)</f>
        <v>01/06/2026</v>
      </c>
      <c r="H145" s="99">
        <v>46334</v>
      </c>
      <c r="I145" s="98" t="s">
        <v>459</v>
      </c>
      <c r="J145" s="98">
        <v>1</v>
      </c>
    </row>
    <row r="146" spans="2:10">
      <c r="B146" s="42" t="s">
        <v>400</v>
      </c>
      <c r="D146" s="43" t="str">
        <f>VLOOKUP(B146,'Working time'!B:D,3,0)</f>
        <v>Phan Thị Ngọc Ánh</v>
      </c>
      <c r="E146" s="43" t="str">
        <f>VLOOKUP(B146,'Working time'!B:F,4,0)</f>
        <v>Production</v>
      </c>
      <c r="F146" s="43" t="str">
        <f>VLOOKUP(B146,'Working time'!B:F,5,0)</f>
        <v>Production Operator</v>
      </c>
      <c r="G146" s="44" t="str">
        <f>VLOOKUP(B146,'Working time'!B:G,6,0)</f>
        <v>01/06/2026</v>
      </c>
      <c r="H146" t="s">
        <v>510</v>
      </c>
      <c r="I146" s="98" t="s">
        <v>459</v>
      </c>
      <c r="J146" s="98">
        <v>1</v>
      </c>
    </row>
    <row r="147" spans="2:10">
      <c r="B147" s="42" t="s">
        <v>400</v>
      </c>
      <c r="D147" s="43" t="str">
        <f>VLOOKUP(B147,'Working time'!B:D,3,0)</f>
        <v>Phan Thị Ngọc Ánh</v>
      </c>
      <c r="E147" s="43" t="str">
        <f>VLOOKUP(B147,'Working time'!B:F,4,0)</f>
        <v>Production</v>
      </c>
      <c r="F147" s="43" t="str">
        <f>VLOOKUP(B147,'Working time'!B:F,5,0)</f>
        <v>Production Operator</v>
      </c>
      <c r="G147" s="44" t="str">
        <f>VLOOKUP(B147,'Working time'!B:G,6,0)</f>
        <v>01/06/2026</v>
      </c>
      <c r="H147" s="99">
        <v>46242</v>
      </c>
      <c r="I147" s="98" t="s">
        <v>459</v>
      </c>
      <c r="J147" s="98">
        <v>1</v>
      </c>
    </row>
    <row r="148" spans="2:10">
      <c r="B148" s="42" t="s">
        <v>388</v>
      </c>
      <c r="D148" s="43" t="str">
        <f>VLOOKUP(B148,'Working time'!B:D,3,0)</f>
        <v>Nguyễn Đăng Khoa</v>
      </c>
      <c r="E148" s="43" t="str">
        <f>VLOOKUP(B148,'Working time'!B:F,4,0)</f>
        <v>QC</v>
      </c>
      <c r="F148" s="43" t="str">
        <f>VLOOKUP(B148,'Working time'!B:F,5,0)</f>
        <v>Quality Team Leader</v>
      </c>
      <c r="G148" s="44" t="str">
        <f>VLOOKUP(B148,'Working time'!B:G,6,0)</f>
        <v>05/06/2026</v>
      </c>
      <c r="H148" s="99" t="s">
        <v>473</v>
      </c>
      <c r="I148" s="98" t="s">
        <v>459</v>
      </c>
      <c r="J148" s="98">
        <v>1</v>
      </c>
    </row>
    <row r="149" spans="2:10">
      <c r="B149" s="42" t="s">
        <v>398</v>
      </c>
      <c r="D149" s="43" t="str">
        <f>VLOOKUP(B149,'Working time'!B:D,3,0)</f>
        <v>Đỗ Văn Noa</v>
      </c>
      <c r="E149" s="43" t="str">
        <f>VLOOKUP(B149,'Working time'!B:F,4,0)</f>
        <v>Production</v>
      </c>
      <c r="F149" s="43" t="str">
        <f>VLOOKUP(B149,'Working time'!B:F,5,0)</f>
        <v>Production Operator</v>
      </c>
      <c r="G149" s="44" t="str">
        <f>VLOOKUP(B149,'Working time'!B:G,6,0)</f>
        <v>17/06/2026</v>
      </c>
      <c r="H149" s="99" t="s">
        <v>468</v>
      </c>
      <c r="I149" s="98" t="s">
        <v>459</v>
      </c>
      <c r="J149" s="98">
        <v>1</v>
      </c>
    </row>
    <row r="150" spans="2:10">
      <c r="B150" s="42" t="s">
        <v>398</v>
      </c>
      <c r="D150" s="43" t="str">
        <f>VLOOKUP(B150,'Working time'!B:D,3,0)</f>
        <v>Đỗ Văn Noa</v>
      </c>
      <c r="E150" s="43" t="str">
        <f>VLOOKUP(B150,'Working time'!B:F,4,0)</f>
        <v>Production</v>
      </c>
      <c r="F150" s="43" t="str">
        <f>VLOOKUP(B150,'Working time'!B:F,5,0)</f>
        <v>Production Operator</v>
      </c>
      <c r="G150" s="44" t="str">
        <f>VLOOKUP(B150,'Working time'!B:G,6,0)</f>
        <v>17/06/2026</v>
      </c>
      <c r="H150" s="99" t="s">
        <v>467</v>
      </c>
      <c r="I150" s="98" t="s">
        <v>376</v>
      </c>
      <c r="J150" s="98">
        <v>1</v>
      </c>
    </row>
    <row r="151" spans="2:10">
      <c r="B151" s="42" t="s">
        <v>398</v>
      </c>
      <c r="D151" s="43" t="str">
        <f>VLOOKUP(B151,'Working time'!B:D,3,0)</f>
        <v>Đỗ Văn Noa</v>
      </c>
      <c r="E151" s="43" t="str">
        <f>VLOOKUP(B151,'Working time'!B:F,4,0)</f>
        <v>Production</v>
      </c>
      <c r="F151" s="43" t="str">
        <f>VLOOKUP(B151,'Working time'!B:F,5,0)</f>
        <v>Production Operator</v>
      </c>
      <c r="G151" s="44" t="str">
        <f>VLOOKUP(B151,'Working time'!B:G,6,0)</f>
        <v>17/06/2026</v>
      </c>
      <c r="H151" s="99">
        <v>46303</v>
      </c>
      <c r="I151" s="98" t="s">
        <v>459</v>
      </c>
      <c r="J151" s="98">
        <v>1</v>
      </c>
    </row>
    <row r="152" spans="2:10">
      <c r="B152" s="42" t="s">
        <v>405</v>
      </c>
      <c r="D152" s="43" t="str">
        <f>VLOOKUP(B152,'Working time'!B:D,3,0)</f>
        <v>Nguyễn Văn Bình</v>
      </c>
      <c r="E152" s="43" t="str">
        <f>VLOOKUP(B152,'Working time'!B:F,4,0)</f>
        <v>QC</v>
      </c>
      <c r="F152" s="43" t="str">
        <f>VLOOKUP(B152,'Working time'!B:F,5,0)</f>
        <v>QC Inspector</v>
      </c>
      <c r="G152" s="44" t="str">
        <f>VLOOKUP(B152,'Working time'!B:G,6,0)</f>
        <v>22/06/2026</v>
      </c>
      <c r="H152" s="99" t="s">
        <v>466</v>
      </c>
      <c r="I152" s="98" t="s">
        <v>376</v>
      </c>
      <c r="J152" s="98">
        <v>1</v>
      </c>
    </row>
    <row r="153" spans="2:10" ht="25.5">
      <c r="B153" s="42" t="s">
        <v>426</v>
      </c>
      <c r="D153" s="43" t="str">
        <f>VLOOKUP(B153,'Working time'!B:D,3,0)</f>
        <v>Nguyễn Thị Phương Thủy</v>
      </c>
      <c r="E153" s="43" t="str">
        <f>VLOOKUP(B153,'Working time'!B:F,4,0)</f>
        <v>Admin</v>
      </c>
      <c r="F153" s="43" t="str">
        <f>VLOOKUP(B153,'Working time'!B:F,5,0)</f>
        <v>Assistant to Branch Manager</v>
      </c>
      <c r="G153" s="44" t="str">
        <f>VLOOKUP(B153,'Working time'!B:G,6,0)</f>
        <v>16/07/2026</v>
      </c>
      <c r="H153" s="99">
        <v>46089</v>
      </c>
      <c r="I153" s="98" t="s">
        <v>459</v>
      </c>
      <c r="J153" s="98">
        <v>0.5</v>
      </c>
    </row>
    <row r="154" spans="2:10">
      <c r="B154" s="42" t="s">
        <v>439</v>
      </c>
      <c r="C154" s="97"/>
      <c r="D154" s="43" t="str">
        <f>VLOOKUP(B154,'Working time'!B:D,3,0)</f>
        <v>Lê Thị Tố Uyên</v>
      </c>
      <c r="E154" s="43" t="str">
        <f>VLOOKUP(B154,'Working time'!B:F,4,0)</f>
        <v>Production</v>
      </c>
      <c r="F154" s="43" t="str">
        <f>VLOOKUP(B154,'Working time'!B:F,5,0)</f>
        <v>Production Operator</v>
      </c>
      <c r="G154" s="44" t="str">
        <f>VLOOKUP(B154,'Working time'!B:G,6,0)</f>
        <v>13/07/2026</v>
      </c>
      <c r="H154" s="99">
        <v>46242</v>
      </c>
      <c r="I154" s="98" t="s">
        <v>459</v>
      </c>
      <c r="J154" s="98">
        <v>1</v>
      </c>
    </row>
    <row r="155" spans="2:10">
      <c r="B155" s="42" t="s">
        <v>439</v>
      </c>
      <c r="D155" s="43" t="str">
        <f>VLOOKUP(B155,'Working time'!B:D,3,0)</f>
        <v>Lê Thị Tố Uyên</v>
      </c>
      <c r="E155" s="43" t="str">
        <f>VLOOKUP(B155,'Working time'!B:F,4,0)</f>
        <v>Production</v>
      </c>
      <c r="F155" s="43" t="str">
        <f>VLOOKUP(B155,'Working time'!B:F,5,0)</f>
        <v>Production Operator</v>
      </c>
      <c r="G155" s="44" t="str">
        <f>VLOOKUP(B155,'Working time'!B:G,6,0)</f>
        <v>13/07/2026</v>
      </c>
      <c r="H155" s="99" t="s">
        <v>467</v>
      </c>
      <c r="I155" s="98" t="s">
        <v>459</v>
      </c>
      <c r="J155" s="98">
        <v>1</v>
      </c>
    </row>
    <row r="156" spans="2:10" ht="25.5">
      <c r="B156" s="42" t="s">
        <v>493</v>
      </c>
      <c r="D156" s="43" t="str">
        <f>VLOOKUP(B156,'Working time'!B:D,3,0)</f>
        <v>Ngô Hoàng Nhiên</v>
      </c>
      <c r="E156" s="43" t="str">
        <f>VLOOKUP(B156,'Working time'!B:F,4,0)</f>
        <v>Production</v>
      </c>
      <c r="F156" s="43" t="str">
        <f>VLOOKUP(B156,'Working time'!B:F,5,0)</f>
        <v>Riveting Line Operator</v>
      </c>
      <c r="G156" s="44" t="str">
        <f>VLOOKUP(B156,'Working time'!B:G,6,0)</f>
        <v>03/08/2026</v>
      </c>
      <c r="H156" t="s">
        <v>475</v>
      </c>
      <c r="I156" s="98" t="s">
        <v>459</v>
      </c>
      <c r="J156" s="98">
        <v>1</v>
      </c>
    </row>
    <row r="157" spans="2:10" ht="25.5">
      <c r="B157" s="42" t="s">
        <v>493</v>
      </c>
      <c r="D157" s="43" t="str">
        <f>VLOOKUP(B157,'Working time'!B:D,3,0)</f>
        <v>Ngô Hoàng Nhiên</v>
      </c>
      <c r="E157" s="43" t="str">
        <f>VLOOKUP(B157,'Working time'!B:F,4,0)</f>
        <v>Production</v>
      </c>
      <c r="F157" s="43" t="str">
        <f>VLOOKUP(B157,'Working time'!B:F,5,0)</f>
        <v>Riveting Line Operator</v>
      </c>
      <c r="G157" s="44" t="str">
        <f>VLOOKUP(B157,'Working time'!B:G,6,0)</f>
        <v>03/08/2026</v>
      </c>
      <c r="H157" t="s">
        <v>511</v>
      </c>
      <c r="I157" s="98" t="s">
        <v>459</v>
      </c>
      <c r="J157" s="98">
        <v>1</v>
      </c>
    </row>
    <row r="158" spans="2:10" ht="25.5">
      <c r="B158" s="42" t="s">
        <v>493</v>
      </c>
      <c r="D158" s="43" t="str">
        <f>VLOOKUP(B158,'Working time'!B:D,3,0)</f>
        <v>Ngô Hoàng Nhiên</v>
      </c>
      <c r="E158" s="43" t="str">
        <f>VLOOKUP(B158,'Working time'!B:F,4,0)</f>
        <v>Production</v>
      </c>
      <c r="F158" s="43" t="str">
        <f>VLOOKUP(B158,'Working time'!B:F,5,0)</f>
        <v>Riveting Line Operator</v>
      </c>
      <c r="G158" s="44" t="str">
        <f>VLOOKUP(B158,'Working time'!B:G,6,0)</f>
        <v>03/08/2026</v>
      </c>
      <c r="H158" t="s">
        <v>512</v>
      </c>
      <c r="I158" s="98" t="s">
        <v>459</v>
      </c>
      <c r="J158" s="98">
        <v>1</v>
      </c>
    </row>
    <row r="159" spans="2:10" ht="25.5">
      <c r="B159" s="42" t="s">
        <v>493</v>
      </c>
      <c r="D159" s="43" t="str">
        <f>VLOOKUP(B159,'Working time'!B:D,3,0)</f>
        <v>Ngô Hoàng Nhiên</v>
      </c>
      <c r="E159" s="43" t="str">
        <f>VLOOKUP(B159,'Working time'!B:F,4,0)</f>
        <v>Production</v>
      </c>
      <c r="F159" s="43" t="str">
        <f>VLOOKUP(B159,'Working time'!B:F,5,0)</f>
        <v>Riveting Line Operator</v>
      </c>
      <c r="G159" s="44" t="str">
        <f>VLOOKUP(B159,'Working time'!B:G,6,0)</f>
        <v>03/08/2026</v>
      </c>
      <c r="H159" t="s">
        <v>513</v>
      </c>
      <c r="I159" s="98" t="s">
        <v>459</v>
      </c>
      <c r="J159" s="98">
        <v>1</v>
      </c>
    </row>
    <row r="160" spans="2:10" ht="25.5">
      <c r="B160" s="42" t="s">
        <v>493</v>
      </c>
      <c r="D160" s="43" t="str">
        <f>VLOOKUP(B160,'Working time'!B:D,3,0)</f>
        <v>Ngô Hoàng Nhiên</v>
      </c>
      <c r="E160" s="43" t="str">
        <f>VLOOKUP(B160,'Working time'!B:F,4,0)</f>
        <v>Production</v>
      </c>
      <c r="F160" s="43" t="str">
        <f>VLOOKUP(B160,'Working time'!B:F,5,0)</f>
        <v>Riveting Line Operator</v>
      </c>
      <c r="G160" s="44" t="str">
        <f>VLOOKUP(B160,'Working time'!B:G,6,0)</f>
        <v>03/08/2026</v>
      </c>
      <c r="H160" t="s">
        <v>510</v>
      </c>
      <c r="I160" s="98" t="s">
        <v>459</v>
      </c>
      <c r="J160" s="98">
        <v>1</v>
      </c>
    </row>
    <row r="161" spans="2:10" ht="25.5">
      <c r="B161" s="42" t="s">
        <v>493</v>
      </c>
      <c r="D161" s="43" t="str">
        <f>VLOOKUP(B161,'Working time'!B:D,3,0)</f>
        <v>Ngô Hoàng Nhiên</v>
      </c>
      <c r="E161" s="43" t="str">
        <f>VLOOKUP(B161,'Working time'!B:F,4,0)</f>
        <v>Production</v>
      </c>
      <c r="F161" s="43" t="str">
        <f>VLOOKUP(B161,'Working time'!B:F,5,0)</f>
        <v>Riveting Line Operator</v>
      </c>
      <c r="G161" s="44" t="str">
        <f>VLOOKUP(B161,'Working time'!B:G,6,0)</f>
        <v>03/08/2026</v>
      </c>
      <c r="H161" t="s">
        <v>514</v>
      </c>
      <c r="I161" s="98" t="s">
        <v>459</v>
      </c>
      <c r="J161" s="98">
        <v>1</v>
      </c>
    </row>
    <row r="162" spans="2:10" ht="25.5">
      <c r="B162" s="42" t="s">
        <v>495</v>
      </c>
      <c r="D162" s="43" t="str">
        <f>VLOOKUP(B162,'Working time'!B:D,3,0)</f>
        <v>Nguyễn Trần Minh Nhật</v>
      </c>
      <c r="E162" s="43" t="str">
        <f>VLOOKUP(B162,'Working time'!B:F,4,0)</f>
        <v>Production</v>
      </c>
      <c r="F162" s="43" t="str">
        <f>VLOOKUP(B162,'Working time'!B:F,5,0)</f>
        <v>Riveting Line Operator</v>
      </c>
      <c r="G162" s="44" t="str">
        <f>VLOOKUP(B162,'Working time'!B:G,6,0)</f>
        <v>13/08/2026</v>
      </c>
      <c r="H162" s="99" t="s">
        <v>510</v>
      </c>
      <c r="I162" s="98" t="s">
        <v>459</v>
      </c>
      <c r="J162" s="98">
        <v>1</v>
      </c>
    </row>
    <row r="163" spans="2:10">
      <c r="B163" s="42" t="s">
        <v>453</v>
      </c>
      <c r="C163" s="97"/>
      <c r="D163" s="43" t="str">
        <f>VLOOKUP(B163,'Working time'!B:D,3,0)</f>
        <v>Đỗ Lê Nguyên</v>
      </c>
      <c r="E163" s="43" t="str">
        <f>VLOOKUP(B163,'Working time'!B:F,4,0)</f>
        <v>Production</v>
      </c>
      <c r="F163" s="43" t="str">
        <f>VLOOKUP(B163,'Working time'!B:F,5,0)</f>
        <v>Production Operator</v>
      </c>
      <c r="G163" s="44" t="str">
        <f>VLOOKUP(B163,'Working time'!B:G,6,0)</f>
        <v>21/07/2026</v>
      </c>
      <c r="H163" s="99">
        <v>46211</v>
      </c>
      <c r="I163" s="98" t="s">
        <v>459</v>
      </c>
      <c r="J163" s="98">
        <v>1</v>
      </c>
    </row>
    <row r="164" spans="2:10">
      <c r="B164" s="42" t="s">
        <v>453</v>
      </c>
      <c r="C164" s="97"/>
      <c r="D164" s="43" t="str">
        <f>VLOOKUP(B164,'Working time'!B:D,3,0)</f>
        <v>Đỗ Lê Nguyên</v>
      </c>
      <c r="E164" s="43" t="str">
        <f>VLOOKUP(B164,'Working time'!B:F,4,0)</f>
        <v>Production</v>
      </c>
      <c r="F164" s="43" t="str">
        <f>VLOOKUP(B164,'Working time'!B:F,5,0)</f>
        <v>Production Operator</v>
      </c>
      <c r="G164" s="44" t="str">
        <f>VLOOKUP(B164,'Working time'!B:G,6,0)</f>
        <v>21/07/2026</v>
      </c>
      <c r="H164" s="99">
        <v>46242</v>
      </c>
      <c r="I164" s="98" t="s">
        <v>459</v>
      </c>
      <c r="J164" s="98">
        <v>1</v>
      </c>
    </row>
    <row r="165" spans="2:10">
      <c r="B165" s="42" t="s">
        <v>453</v>
      </c>
      <c r="C165" s="97"/>
      <c r="D165" s="43" t="str">
        <f>VLOOKUP(B165,'Working time'!B:D,3,0)</f>
        <v>Đỗ Lê Nguyên</v>
      </c>
      <c r="E165" s="43" t="str">
        <f>VLOOKUP(B165,'Working time'!B:F,4,0)</f>
        <v>Production</v>
      </c>
      <c r="F165" s="43" t="str">
        <f>VLOOKUP(B165,'Working time'!B:F,5,0)</f>
        <v>Production Operator</v>
      </c>
      <c r="G165" s="44" t="str">
        <f>VLOOKUP(B165,'Working time'!B:G,6,0)</f>
        <v>21/07/2026</v>
      </c>
      <c r="H165" s="99">
        <v>46334</v>
      </c>
      <c r="I165" s="98" t="s">
        <v>459</v>
      </c>
      <c r="J165" s="98">
        <v>1</v>
      </c>
    </row>
  </sheetData>
  <autoFilter ref="A3:K165" xr:uid="{2ABDA11D-0315-4052-9F48-9C4E7A1959D2}"/>
  <sortState xmlns:xlrd2="http://schemas.microsoft.com/office/spreadsheetml/2017/richdata2" ref="A4:K165">
    <sortCondition ref="B4:B165"/>
  </sortState>
  <mergeCells count="7">
    <mergeCell ref="G1:G3"/>
    <mergeCell ref="A1:A3"/>
    <mergeCell ref="B1:B3"/>
    <mergeCell ref="C1:C3"/>
    <mergeCell ref="D1:D3"/>
    <mergeCell ref="E1:E3"/>
    <mergeCell ref="F1:F3"/>
  </mergeCells>
  <phoneticPr fontId="35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0eeb91-d2b7-410c-a142-739340bc5b89}" enabled="1" method="Standard" siteId="{ee75c49c-c1cb-49e2-b55d-6b0f8e02208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Overtime</vt:lpstr>
      <vt:lpstr>OT1</vt:lpstr>
      <vt:lpstr>Sheet1</vt:lpstr>
      <vt:lpstr>Working time</vt:lpstr>
      <vt:lpstr>Thai san</vt:lpstr>
      <vt:lpstr>Leave</vt:lpstr>
      <vt:lpstr>'OT1'!Print_Area</vt:lpstr>
      <vt:lpstr>'Working time'!Print_Area</vt:lpstr>
      <vt:lpstr>'OT1'!Print_Titles</vt:lpstr>
      <vt:lpstr>'Working time'!Print_Titles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 Ho</dc:creator>
  <cp:lastModifiedBy>VINH PHAM</cp:lastModifiedBy>
  <cp:lastPrinted>2026-07-21T02:52:28Z</cp:lastPrinted>
  <dcterms:created xsi:type="dcterms:W3CDTF">2025-07-18T05:39:45Z</dcterms:created>
  <dcterms:modified xsi:type="dcterms:W3CDTF">2026-08-22T08:07:16Z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